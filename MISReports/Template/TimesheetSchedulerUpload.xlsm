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/>
  <workbookPr/>
  <mc:AlternateContent xmlns:mc="http://schemas.openxmlformats.org/markup-compatibility/2006">
    <mc:Choice Requires="x15">
      <x15ac:absPath xmlns:x15ac="http://schemas.microsoft.com/office/spreadsheetml/2010/11/ac" url="C:\Users\vinothkumar.s\Downloads\"/>
    </mc:Choice>
  </mc:AlternateContent>
  <xr:revisionPtr revIDLastSave="0" documentId="13_ncr:1_{88A07610-D071-4E55-979F-3707AF475546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SCHEDULER" sheetId="1" r:id="rId1"/>
    <sheet name="Master" sheetId="2" state="hidden" r:id="rId2"/>
  </sheets>
  <definedNames>
    <definedName name="AREAMASTER">AreaMasterTBL[DisplayName]</definedName>
    <definedName name="EmpMaster">EMPTbl[DisplayName]</definedName>
    <definedName name="StatusMaster">StatusTbl[DisplayName]</definedName>
    <definedName name="TaskMaster">TaskMasterTBL[DisplayName]</definedName>
    <definedName name="TaskTypeMaster">TaskTypeTBL[DisplayName]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2" i="2" l="1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O2" i="2"/>
  <c r="O3" i="2"/>
  <c r="O4" i="2"/>
  <c r="K2" i="2"/>
  <c r="K3" i="2"/>
  <c r="K4" i="2"/>
  <c r="K5" i="2"/>
  <c r="K6" i="2"/>
  <c r="K7" i="2"/>
  <c r="K8" i="2"/>
  <c r="K9" i="2"/>
  <c r="K10" i="2"/>
  <c r="K11" i="2"/>
  <c r="K12" i="2"/>
  <c r="K13" i="2"/>
  <c r="G2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C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</calcChain>
</file>

<file path=xl/sharedStrings.xml><?xml version="1.0" encoding="utf-8"?>
<sst xmlns="http://schemas.openxmlformats.org/spreadsheetml/2006/main" count="278" uniqueCount="204">
  <si>
    <t>ID</t>
  </si>
  <si>
    <t>AreaName</t>
  </si>
  <si>
    <t>MMR</t>
  </si>
  <si>
    <t>MHW</t>
  </si>
  <si>
    <t>MLD</t>
  </si>
  <si>
    <t>MCL</t>
  </si>
  <si>
    <t>MCF</t>
  </si>
  <si>
    <t>MCA</t>
  </si>
  <si>
    <t>MECH</t>
  </si>
  <si>
    <t>ELEC</t>
  </si>
  <si>
    <t>ELD</t>
  </si>
  <si>
    <t>ECA</t>
  </si>
  <si>
    <t>EMR</t>
  </si>
  <si>
    <t>EHW</t>
  </si>
  <si>
    <t>ECM</t>
  </si>
  <si>
    <t>MECH-LLT</t>
  </si>
  <si>
    <t>ELEC-LLT</t>
  </si>
  <si>
    <t>Others</t>
  </si>
  <si>
    <t>TaskName</t>
  </si>
  <si>
    <t>LLT Design</t>
  </si>
  <si>
    <t>LLT Checking</t>
  </si>
  <si>
    <t>LLT Release</t>
  </si>
  <si>
    <t>Project Design</t>
  </si>
  <si>
    <t>Project Checking</t>
  </si>
  <si>
    <t>Project Release</t>
  </si>
  <si>
    <t>Testing &amp; Evaluation</t>
  </si>
  <si>
    <t>Product Design</t>
  </si>
  <si>
    <t>Product Checking</t>
  </si>
  <si>
    <t>Product Release</t>
  </si>
  <si>
    <t>Standardization Design</t>
  </si>
  <si>
    <t>Revision Design</t>
  </si>
  <si>
    <t>Revision Checking</t>
  </si>
  <si>
    <t>Revision Release</t>
  </si>
  <si>
    <t>Mod. Enquiry Study</t>
  </si>
  <si>
    <t>Mod. Enquiry Checking</t>
  </si>
  <si>
    <t>Mod. Enquiry Release</t>
  </si>
  <si>
    <t>Mod. Order Design</t>
  </si>
  <si>
    <t>Mod. Order Checking</t>
  </si>
  <si>
    <t>Mod. Order Release</t>
  </si>
  <si>
    <t>Training</t>
  </si>
  <si>
    <t>Meeting</t>
  </si>
  <si>
    <t>ET Action</t>
  </si>
  <si>
    <t>Software Design</t>
  </si>
  <si>
    <t>Revision work - Self</t>
  </si>
  <si>
    <t>Revision work - Others</t>
  </si>
  <si>
    <t>FPT Workout</t>
  </si>
  <si>
    <t>Software Checking</t>
  </si>
  <si>
    <t>Software Release</t>
  </si>
  <si>
    <t>Standardization Checking</t>
  </si>
  <si>
    <t>PI &amp; DBOM CREATION</t>
  </si>
  <si>
    <t>PI &amp; DBOM REVISION</t>
  </si>
  <si>
    <t xml:space="preserve">DBOM CHECK </t>
  </si>
  <si>
    <t>QPI UPDATE</t>
  </si>
  <si>
    <t>SERVER UPDATE</t>
  </si>
  <si>
    <t>LEAVE</t>
  </si>
  <si>
    <t>Standardization Release</t>
  </si>
  <si>
    <t>others</t>
  </si>
  <si>
    <t>TaskTypeName</t>
  </si>
  <si>
    <t>Project</t>
  </si>
  <si>
    <t>Development</t>
  </si>
  <si>
    <t>Evaluation</t>
  </si>
  <si>
    <t>Project Revision</t>
  </si>
  <si>
    <t>Development Revision</t>
  </si>
  <si>
    <t>Modification Enquiry</t>
  </si>
  <si>
    <t>Modification Order</t>
  </si>
  <si>
    <t>Error &amp; Trouble</t>
  </si>
  <si>
    <t>Standardization</t>
  </si>
  <si>
    <t>StatusName</t>
  </si>
  <si>
    <t>Inprogress</t>
  </si>
  <si>
    <t>Completed</t>
  </si>
  <si>
    <t>Not yet started</t>
  </si>
  <si>
    <t>Empid</t>
  </si>
  <si>
    <t>Empname</t>
  </si>
  <si>
    <t>FC0005</t>
  </si>
  <si>
    <t>Abinesh A</t>
  </si>
  <si>
    <t>Adhil Shaji</t>
  </si>
  <si>
    <t>Aishwarya Rai P</t>
  </si>
  <si>
    <t>Ajithkumar</t>
  </si>
  <si>
    <t>ALEX PANDIYAN</t>
  </si>
  <si>
    <t>Anandha Ganesh Moorthi.A</t>
  </si>
  <si>
    <t>Appu Suresh</t>
  </si>
  <si>
    <t>Ashok Raja N</t>
  </si>
  <si>
    <t>Atsushi Tanishiki</t>
  </si>
  <si>
    <t>Ayyappan Muthusamy</t>
  </si>
  <si>
    <t>FC0002</t>
  </si>
  <si>
    <t>Babu</t>
  </si>
  <si>
    <t>FC0012</t>
  </si>
  <si>
    <t>Bhuvanesh D</t>
  </si>
  <si>
    <t>Boopathi Karthick.M</t>
  </si>
  <si>
    <t>FC0018</t>
  </si>
  <si>
    <t>Deepak Kumar L</t>
  </si>
  <si>
    <t>Dhinesh.S</t>
  </si>
  <si>
    <t>Diana Veronica M</t>
  </si>
  <si>
    <t>Dinesh G</t>
  </si>
  <si>
    <t>FC0007</t>
  </si>
  <si>
    <t>Dinesh T</t>
  </si>
  <si>
    <t>Dineshkannan S</t>
  </si>
  <si>
    <t>Ebin Baju</t>
  </si>
  <si>
    <t>FC0008</t>
  </si>
  <si>
    <t>Ganeshprabhu</t>
  </si>
  <si>
    <t>FC0006</t>
  </si>
  <si>
    <t>Gayathri P</t>
  </si>
  <si>
    <t>Gokul.G</t>
  </si>
  <si>
    <t>Gopala Krishnan.M</t>
  </si>
  <si>
    <t>FC0017</t>
  </si>
  <si>
    <t>Gopinath P</t>
  </si>
  <si>
    <t>Jagath S</t>
  </si>
  <si>
    <t>FC0014</t>
  </si>
  <si>
    <t>Janarthanan</t>
  </si>
  <si>
    <t>FC0004</t>
  </si>
  <si>
    <t>Jayamathan G</t>
  </si>
  <si>
    <t>Jithin J</t>
  </si>
  <si>
    <t>Jowinaath D</t>
  </si>
  <si>
    <t>Kanishkan Palanisamy</t>
  </si>
  <si>
    <t>Karthik</t>
  </si>
  <si>
    <t>Karthik R</t>
  </si>
  <si>
    <t>Karthik Saravanan</t>
  </si>
  <si>
    <t>Karthik.M</t>
  </si>
  <si>
    <t>Kavipriya P</t>
  </si>
  <si>
    <t>Kishore Kumar S</t>
  </si>
  <si>
    <t>Koji Morikawa</t>
  </si>
  <si>
    <t>M.Kishore</t>
  </si>
  <si>
    <t>M.S.Arun Sankar</t>
  </si>
  <si>
    <t>M.Vanithamani</t>
  </si>
  <si>
    <t>Mohammed Furqan Imam Ali Atiqun Nisa</t>
  </si>
  <si>
    <t>Muthu Kumar R</t>
  </si>
  <si>
    <t>Muthu Sujay Kumar G</t>
  </si>
  <si>
    <t>Muthuraj M</t>
  </si>
  <si>
    <t>N.Vinothkumar</t>
  </si>
  <si>
    <t>Nitheshkumar B</t>
  </si>
  <si>
    <t>Nithishkumar.D</t>
  </si>
  <si>
    <t>P. Amirtha Varshini</t>
  </si>
  <si>
    <t>P.Lokesh</t>
  </si>
  <si>
    <t>P.Thiyakarajan</t>
  </si>
  <si>
    <t>Ponraj.B</t>
  </si>
  <si>
    <t>FC0013</t>
  </si>
  <si>
    <t>Praveenkumar R</t>
  </si>
  <si>
    <t>FC0011</t>
  </si>
  <si>
    <t>Priya</t>
  </si>
  <si>
    <t>R.Bharath Kumar</t>
  </si>
  <si>
    <t>Ramkumar M</t>
  </si>
  <si>
    <t>Ranjith kumar.K</t>
  </si>
  <si>
    <t>Royce Lee John</t>
  </si>
  <si>
    <t>S.Bhuvaneshwari</t>
  </si>
  <si>
    <t>S.Devendran</t>
  </si>
  <si>
    <t>S.Komaladevi</t>
  </si>
  <si>
    <t>S.Manokar</t>
  </si>
  <si>
    <t>S.Santhosh</t>
  </si>
  <si>
    <t>Sandeepraj A</t>
  </si>
  <si>
    <t>Sarath Kumar.V.S</t>
  </si>
  <si>
    <t>Sharmila Sithaiyan</t>
  </si>
  <si>
    <t>Sivakumar S</t>
  </si>
  <si>
    <t>Sooraj Joseph.K.J</t>
  </si>
  <si>
    <t>Subash M</t>
  </si>
  <si>
    <t>Sugandan.K</t>
  </si>
  <si>
    <t>Sujithroshan Murugesan</t>
  </si>
  <si>
    <t>Thomaskutty Sabu</t>
  </si>
  <si>
    <t>FC0003</t>
  </si>
  <si>
    <t>Udayakumar K</t>
  </si>
  <si>
    <t>FC0001</t>
  </si>
  <si>
    <t>Udayakumar S</t>
  </si>
  <si>
    <t>V.Raja</t>
  </si>
  <si>
    <t>V.Shanthosh</t>
  </si>
  <si>
    <t>V.Vijayaraj</t>
  </si>
  <si>
    <t>FC0010</t>
  </si>
  <si>
    <t>Vasanth S</t>
  </si>
  <si>
    <t>Velpratheepanan K</t>
  </si>
  <si>
    <t>FC0016</t>
  </si>
  <si>
    <t>Vignesh M</t>
  </si>
  <si>
    <t>FC0009</t>
  </si>
  <si>
    <t>Vijay Dinesh</t>
  </si>
  <si>
    <t>Vishnudas.K.M</t>
  </si>
  <si>
    <t>FC0015</t>
  </si>
  <si>
    <t>Yogesh P</t>
  </si>
  <si>
    <t>Yoshinobu Kito</t>
  </si>
  <si>
    <t>Yuichiro Hodatsu</t>
  </si>
  <si>
    <t>TaskType</t>
  </si>
  <si>
    <t>Task</t>
  </si>
  <si>
    <t>Area</t>
  </si>
  <si>
    <t>Remarks</t>
  </si>
  <si>
    <t>Product</t>
  </si>
  <si>
    <t>PlannedHours</t>
  </si>
  <si>
    <t>DisplayName</t>
  </si>
  <si>
    <t>UserId</t>
  </si>
  <si>
    <t>AssigneduserId</t>
  </si>
  <si>
    <t>capacity</t>
  </si>
  <si>
    <t>speed</t>
  </si>
  <si>
    <t>Fromdate</t>
  </si>
  <si>
    <t>Todate</t>
  </si>
  <si>
    <t>status</t>
  </si>
  <si>
    <t>Assignedby</t>
  </si>
  <si>
    <t>Muthuraj M~02331</t>
  </si>
  <si>
    <t>Development~0002</t>
  </si>
  <si>
    <t>Product Design~1032</t>
  </si>
  <si>
    <t>A</t>
  </si>
  <si>
    <t>IN002061L006,IN002061L007</t>
  </si>
  <si>
    <t>Machine data collection for #6B relay selection and meeting</t>
  </si>
  <si>
    <t>REXIA IN</t>
  </si>
  <si>
    <t>24P / 1632kg</t>
  </si>
  <si>
    <t>150 mpm</t>
  </si>
  <si>
    <t>Not yet started~0003</t>
  </si>
  <si>
    <t>N.Vinothkumar~01065</t>
  </si>
  <si>
    <t>IN002061L016,IN002061L017</t>
  </si>
  <si>
    <t>00337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</si>
</sst>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49" fontId="0" fillId="0" borderId="0" xfId="0" applyNumberFormat="1"/>
    <xf numFmtId="14" fontId="0" fillId="0" borderId="0" xfId="0" applyNumberFormat="1"/>
  </cellXfs>
  <cellStyles count="1">
    <cellStyle name="Normal" xfId="0" builtinId="0"/>
  </cellStyles>
  <dxfs count="9"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F2D6B3E-1353-4568-905A-14B3E8446059}" name="UploadSchedule" displayName="UploadSchedule" ref="A1:O3" totalsRowShown="0">
  <autoFilter ref="A1:O3" xr:uid="{0F2D6B3E-1353-4568-905A-14B3E8446059}"/>
  <tableColumns count="15">
    <tableColumn id="1" xr3:uid="{7F769AC2-9AC0-486E-8AA9-BAFC6C441E0A}" name="UserId"/>
    <tableColumn id="2" xr3:uid="{588F317D-2426-4366-8F4B-E40262B42FC1}" name="TaskType"/>
    <tableColumn id="3" xr3:uid="{C784F223-3402-459E-A92C-EA9B0AF0F863}" name="Task"/>
    <tableColumn id="4" xr3:uid="{1943504B-0FA7-4941-88B1-ECD924B68699}" name="AssigneduserId"/>
    <tableColumn id="5" xr3:uid="{B744394E-8316-4C60-A187-157A41932DC9}" name="Project"/>
    <tableColumn id="6" xr3:uid="{AA53770E-45FE-44BD-AC96-AA5A7CFDC44E}" name="Area"/>
    <tableColumn id="7" xr3:uid="{8BEC29D0-BD70-4BDA-8B5F-0AABC7DA1EE0}" name="Remarks"/>
    <tableColumn id="8" xr3:uid="{90158EE9-E8A6-4B6F-BA0D-F75CA9E45B2A}" name="Product"/>
    <tableColumn id="9" xr3:uid="{28D731A8-0D67-4B4A-A771-0312A30C76FE}" name="capacity"/>
    <tableColumn id="10" xr3:uid="{B630BFAC-BB79-407E-809A-20CFCC46018B}" name="speed"/>
    <tableColumn id="11" xr3:uid="{E5B66690-3D91-436B-ADB9-E9E2C3E4476F}" name="Fromdate"/>
    <tableColumn id="12" xr3:uid="{FB888F75-9C88-45CF-A20E-5B14103EA6E1}" name="Todate"/>
    <tableColumn id="13" xr3:uid="{C4575E70-DB72-4860-AABC-AF3E857D9339}" name="PlannedHours"/>
    <tableColumn id="14" xr3:uid="{B73DE48E-2D04-4E0D-BA4B-5DC334FFB021}" name="status"/>
    <tableColumn id="15" xr3:uid="{DEE4A5F9-4565-4884-BE73-B1C22BB4B664}" name="Assignedby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2565BAF-666E-4D8C-9912-FEF717AD92B6}" name="AreaMasterTBL" displayName="AreaMasterTBL" ref="A1:C17" totalsRowShown="0">
  <autoFilter ref="A1:C17" xr:uid="{42565BAF-666E-4D8C-9912-FEF717AD92B6}"/>
  <tableColumns count="3">
    <tableColumn id="1" xr3:uid="{1CC0B282-E2A1-4A7A-A720-842508BE8098}" name="ID"/>
    <tableColumn id="2" xr3:uid="{0BC195FF-F7E6-4D27-98EA-3287FABB0D01}" name="AreaName"/>
    <tableColumn id="3" xr3:uid="{2B2F381C-7C9D-4F1E-BA31-D14F6FFB9572}" name="DisplayName" dataDxfId="8">
      <calculatedColumnFormula>_xlfn.CONCAT(AreaMasterTBL[[#This Row],[AreaName]],"~",TEXT(AreaMasterTBL[[#This Row],[ID]],"0000"))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6185726-2839-43A4-8701-9E3D25EA1CB2}" name="TaskMasterTBL" displayName="TaskMasterTBL" ref="E1:G91" totalsRowShown="0">
  <autoFilter ref="E1:G91" xr:uid="{26185726-2839-43A4-8701-9E3D25EA1CB2}"/>
  <tableColumns count="3">
    <tableColumn id="1" xr3:uid="{2F15222E-87BC-4331-ABA0-53E0CA802DD4}" name="ID"/>
    <tableColumn id="2" xr3:uid="{3C3A269F-89A9-4610-8555-340E7C5418FB}" name="TaskName"/>
    <tableColumn id="3" xr3:uid="{6269427F-786C-4DF2-9CA8-A35D125EEA8D}" name="DisplayName" dataDxfId="7">
      <calculatedColumnFormula>_xlfn.CONCAT(TaskMasterTBL[[#This Row],[TaskName]],"~",TEXT(TaskMasterTBL[[#This Row],[ID]],"0000"))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C167521-005F-4A57-9333-56E7C7FE38E9}" name="TaskTypeTBL" displayName="TaskTypeTBL" ref="I1:K13" totalsRowShown="0">
  <autoFilter ref="I1:K13" xr:uid="{FC167521-005F-4A57-9333-56E7C7FE38E9}"/>
  <tableColumns count="3">
    <tableColumn id="1" xr3:uid="{AFBF6631-BFB7-40C0-A3B5-7AB83E00DE37}" name="ID"/>
    <tableColumn id="2" xr3:uid="{76D474BF-8D9C-4BE6-A1D8-C44F3C76C4A1}" name="TaskTypeName"/>
    <tableColumn id="3" xr3:uid="{914BC220-0247-47EB-B52E-920549AF12A2}" name="DisplayName" dataDxfId="6">
      <calculatedColumnFormula>_xlfn.CONCAT(TaskTypeTBL[[#This Row],[TaskTypeName]],"~",TEXT(TaskTypeTBL[[#This Row],[ID]],"0000"))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20E7CB1-74AD-4383-937D-96223BC6BCEE}" name="StatusTbl" displayName="StatusTbl" ref="M1:O4" totalsRowShown="0">
  <autoFilter ref="M1:O4" xr:uid="{D20E7CB1-74AD-4383-937D-96223BC6BCEE}"/>
  <tableColumns count="3">
    <tableColumn id="1" xr3:uid="{5DE4C39B-F9FD-4492-BAB1-3949CAC379F5}" name="ID"/>
    <tableColumn id="2" xr3:uid="{88174F20-7461-464F-9C2C-00A41F8A6FC1}" name="StatusName"/>
    <tableColumn id="3" xr3:uid="{2B46B063-CBFA-4B37-B86A-5062934E25B1}" name="DisplayName" dataDxfId="5">
      <calculatedColumnFormula>_xlfn.CONCAT(StatusTbl[[#This Row],[StatusName]],"~",TEXT(StatusTbl[[#This Row],[ID]],"0000"))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6CF1E84-2AB7-4F62-B821-8C52E6C7E049}" name="EMPTbl" displayName="EMPTbl" ref="Q1:S86" totalsRowShown="0" headerRowDxfId="4">
  <autoFilter ref="Q1:S86" xr:uid="{F6CF1E84-2AB7-4F62-B821-8C52E6C7E049}"/>
  <tableColumns count="3">
    <tableColumn id="1" xr3:uid="{70C8E6B7-DE15-4DC6-B33C-E959E8DC2D52}" name="Empid" dataDxfId="3"/>
    <tableColumn id="2" xr3:uid="{F12B09F5-E7A6-490E-B940-CB75F997FF1C}" name="Empname" dataDxfId="2"/>
    <tableColumn id="5" xr3:uid="{B037AC22-49C0-4189-80F3-165F1C8CD812}" name="DisplayName" dataDxfId="1">
      <calculatedColumnFormula>_xlfn.CONCAT(EMPTbl[[#This Row],[Empname]],"~",TEXT(EMPTbl[[#This Row],[Empid]],"00000"))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3"/>
  <sheetViews>
    <sheetView tabSelected="1" workbookViewId="0">
      <selection activeCell="E2" sqref="E2"/>
    </sheetView>
  </sheetViews>
  <sheetFormatPr defaultRowHeight="15" x14ac:dyDescent="0.25"/>
  <cols>
    <col min="1" max="1" width="18.140625" customWidth="1"/>
    <col min="2" max="2" width="11.28515625" customWidth="1"/>
    <col min="4" max="4" width="16.5703125" customWidth="1"/>
    <col min="5" max="5" width="9.42578125" customWidth="1"/>
    <col min="7" max="7" width="10.7109375" customWidth="1"/>
    <col min="8" max="8" width="10" customWidth="1"/>
    <col min="9" max="9" width="14" customWidth="1"/>
    <col min="11" max="11" width="11.42578125" customWidth="1"/>
    <col min="12" max="12" width="10.5703125" customWidth="1"/>
    <col min="13" max="13" width="15.5703125" customWidth="1"/>
    <col min="15" max="15" width="9.140625" style="1"/>
  </cols>
  <sheetData>
    <row r="1" spans="1:15" x14ac:dyDescent="0.25">
      <c r="A1" t="s">
        <v>183</v>
      </c>
      <c r="B1" t="s">
        <v>176</v>
      </c>
      <c r="C1" t="s">
        <v>177</v>
      </c>
      <c r="D1" t="s">
        <v>184</v>
      </c>
      <c r="E1" t="s">
        <v>58</v>
      </c>
      <c r="F1" t="s">
        <v>178</v>
      </c>
      <c r="G1" t="s">
        <v>179</v>
      </c>
      <c r="H1" t="s">
        <v>180</v>
      </c>
      <c r="I1" t="s">
        <v>185</v>
      </c>
      <c r="J1" t="s">
        <v>186</v>
      </c>
      <c r="K1" t="s">
        <v>187</v>
      </c>
      <c r="L1" t="s">
        <v>188</v>
      </c>
      <c r="M1" t="s">
        <v>181</v>
      </c>
      <c r="N1" t="s">
        <v>189</v>
      </c>
      <c r="O1" s="1" t="s">
        <v>190</v>
      </c>
    </row>
    <row r="2" spans="1:15" x14ac:dyDescent="0.25">
      <c r="A2" t="s">
        <v>191</v>
      </c>
      <c r="B2" t="s">
        <v>192</v>
      </c>
      <c r="C2" t="s">
        <v>193</v>
      </c>
      <c r="D2" t="s">
        <v>194</v>
      </c>
      <c r="E2" t="s">
        <v>195</v>
      </c>
      <c r="F2" t="s">
        <v>12</v>
      </c>
      <c r="G2" t="s">
        <v>196</v>
      </c>
      <c r="H2" t="s">
        <v>197</v>
      </c>
      <c r="I2" t="s">
        <v>198</v>
      </c>
      <c r="J2" t="s">
        <v>199</v>
      </c>
      <c r="K2" s="2">
        <v>45223</v>
      </c>
      <c r="L2" s="2">
        <v>45223</v>
      </c>
      <c r="M2">
        <v>8</v>
      </c>
      <c r="N2" t="s">
        <v>200</v>
      </c>
      <c r="O2" s="1" t="s">
        <v>203</v>
      </c>
    </row>
    <row r="3" spans="1:15" x14ac:dyDescent="0.25">
      <c r="A3" t="s">
        <v>201</v>
      </c>
      <c r="B3" t="s">
        <v>192</v>
      </c>
      <c r="C3" t="s">
        <v>193</v>
      </c>
      <c r="D3" t="s">
        <v>194</v>
      </c>
      <c r="E3" t="s">
        <v>202</v>
      </c>
      <c r="F3" t="s">
        <v>4</v>
      </c>
      <c r="G3" t="s">
        <v>196</v>
      </c>
      <c r="H3" t="s">
        <v>197</v>
      </c>
      <c r="I3" t="s">
        <v>198</v>
      </c>
      <c r="J3" t="s">
        <v>199</v>
      </c>
      <c r="K3" s="2">
        <v>45223</v>
      </c>
      <c r="L3" s="2">
        <v>45223</v>
      </c>
      <c r="M3">
        <v>8</v>
      </c>
      <c r="N3" t="s">
        <v>200</v>
      </c>
      <c r="O3" s="1" t="s">
        <v>203</v>
      </c>
    </row>
  </sheetData>
  <dataValidations count="5">
    <dataValidation type="list" allowBlank="1" showInputMessage="1" showErrorMessage="1" sqref="A2:A3" xr:uid="{D3A8D221-14A9-40C4-A2FB-A7596EEFF901}">
      <formula1>EmpMaster</formula1>
    </dataValidation>
    <dataValidation type="list" allowBlank="1" showInputMessage="1" showErrorMessage="1" sqref="B2:B3" xr:uid="{B0D65DA0-DD0A-4643-BCBA-CA89DB87F851}">
      <formula1>TaskTypeMaster</formula1>
    </dataValidation>
    <dataValidation type="list" allowBlank="1" showInputMessage="1" showErrorMessage="1" sqref="C2:C3" xr:uid="{792B9939-D218-4440-A249-DB712E0EBABB}">
      <formula1>TaskMaster</formula1>
    </dataValidation>
    <dataValidation type="list" allowBlank="1" showInputMessage="1" showErrorMessage="1" sqref="D2:D3" xr:uid="{CA5E1F35-409D-4A99-AE95-88E150BB6AEA}">
      <formula1>"A,R"</formula1>
    </dataValidation>
    <dataValidation type="list" allowBlank="1" showInputMessage="1" showErrorMessage="1" sqref="N2:N3" xr:uid="{10EA78A3-C39C-497C-BE0B-43425F153EDB}">
      <formula1>StatusMaster</formula1>
    </dataValidation>
  </dataValidations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78E93-2C88-49DC-9D67-6CD74059907B}">
  <dimension ref="A1:S91"/>
  <sheetViews>
    <sheetView topLeftCell="F2" workbookViewId="0">
      <selection activeCell="I4" sqref="I4"/>
    </sheetView>
  </sheetViews>
  <sheetFormatPr defaultRowHeight="15" x14ac:dyDescent="0.25"/>
  <cols>
    <col min="1" max="1" width="5" customWidth="1"/>
    <col min="2" max="2" width="12.5703125" customWidth="1"/>
    <col min="3" max="3" width="15.140625" bestFit="1" customWidth="1"/>
    <col min="6" max="6" width="23.7109375" bestFit="1" customWidth="1"/>
    <col min="7" max="7" width="23.7109375" customWidth="1"/>
    <col min="10" max="10" width="21.5703125" bestFit="1" customWidth="1"/>
    <col min="11" max="11" width="21.5703125" customWidth="1"/>
    <col min="14" max="14" width="13.85546875" customWidth="1"/>
    <col min="15" max="15" width="19.5703125" bestFit="1" customWidth="1"/>
    <col min="17" max="17" width="8.85546875" style="1" bestFit="1" customWidth="1"/>
    <col min="18" max="18" width="38.28515625" style="1" bestFit="1" customWidth="1"/>
    <col min="19" max="19" width="43.42578125" bestFit="1" customWidth="1"/>
  </cols>
  <sheetData>
    <row r="1" spans="1:19" x14ac:dyDescent="0.25">
      <c r="A1" t="s">
        <v>0</v>
      </c>
      <c r="B1" t="s">
        <v>1</v>
      </c>
      <c r="C1" t="s">
        <v>182</v>
      </c>
      <c r="E1" t="s">
        <v>0</v>
      </c>
      <c r="F1" t="s">
        <v>18</v>
      </c>
      <c r="G1" t="s">
        <v>182</v>
      </c>
      <c r="I1" t="s">
        <v>0</v>
      </c>
      <c r="J1" t="s">
        <v>57</v>
      </c>
      <c r="K1" t="s">
        <v>182</v>
      </c>
      <c r="M1" t="s">
        <v>0</v>
      </c>
      <c r="N1" t="s">
        <v>67</v>
      </c>
      <c r="O1" t="s">
        <v>182</v>
      </c>
      <c r="Q1" s="1" t="s">
        <v>71</v>
      </c>
      <c r="R1" s="1" t="s">
        <v>72</v>
      </c>
      <c r="S1" s="1" t="s">
        <v>182</v>
      </c>
    </row>
    <row r="2" spans="1:19" x14ac:dyDescent="0.25">
      <c r="A2">
        <v>1</v>
      </c>
      <c r="B2" t="s">
        <v>2</v>
      </c>
      <c r="C2" t="str">
        <f>_xlfn.CONCAT(AreaMasterTBL[[#This Row],[AreaName]],"~",TEXT(AreaMasterTBL[[#This Row],[ID]],"0000"))</f>
        <v>MMR~0001</v>
      </c>
      <c r="E2">
        <v>1</v>
      </c>
      <c r="F2" t="s">
        <v>19</v>
      </c>
      <c r="G2" t="str">
        <f>_xlfn.CONCAT(TaskMasterTBL[[#This Row],[TaskName]],"~",TEXT(TaskMasterTBL[[#This Row],[ID]],"0000"))</f>
        <v>LLT Design~0001</v>
      </c>
      <c r="I2">
        <v>1</v>
      </c>
      <c r="J2" t="s">
        <v>58</v>
      </c>
      <c r="K2" t="str">
        <f>_xlfn.CONCAT(TaskTypeTBL[[#This Row],[TaskTypeName]],"~",TEXT(TaskTypeTBL[[#This Row],[ID]],"0000"))</f>
        <v>Project~0001</v>
      </c>
      <c r="M2">
        <v>1</v>
      </c>
      <c r="N2" t="s">
        <v>68</v>
      </c>
      <c r="O2" t="str">
        <f>_xlfn.CONCAT(StatusTbl[[#This Row],[StatusName]],"~",TEXT(StatusTbl[[#This Row],[ID]],"0000"))</f>
        <v>Inprogress~0001</v>
      </c>
      <c r="Q2" s="1" t="s">
        <v>73</v>
      </c>
      <c r="R2" s="1" t="s">
        <v>74</v>
      </c>
      <c r="S2" t="str">
        <f>_xlfn.CONCAT(EMPTbl[[#This Row],[Empname]],"~",TEXT(EMPTbl[[#This Row],[Empid]],"00000"))</f>
        <v>Abinesh A~FC0005</v>
      </c>
    </row>
    <row r="3" spans="1:19" x14ac:dyDescent="0.25">
      <c r="A3">
        <v>2</v>
      </c>
      <c r="B3" t="s">
        <v>3</v>
      </c>
      <c r="C3" t="str">
        <f>_xlfn.CONCAT(AreaMasterTBL[[#This Row],[AreaName]],"~",TEXT(AreaMasterTBL[[#This Row],[ID]],"0000"))</f>
        <v>MHW~0002</v>
      </c>
      <c r="E3">
        <v>2</v>
      </c>
      <c r="F3" t="s">
        <v>20</v>
      </c>
      <c r="G3" t="str">
        <f>_xlfn.CONCAT(TaskMasterTBL[[#This Row],[TaskName]],"~",TEXT(TaskMasterTBL[[#This Row],[ID]],"0000"))</f>
        <v>LLT Checking~0002</v>
      </c>
      <c r="I3">
        <v>2</v>
      </c>
      <c r="J3" t="s">
        <v>59</v>
      </c>
      <c r="K3" t="str">
        <f>_xlfn.CONCAT(TaskTypeTBL[[#This Row],[TaskTypeName]],"~",TEXT(TaskTypeTBL[[#This Row],[ID]],"0000"))</f>
        <v>Development~0002</v>
      </c>
      <c r="M3">
        <v>2</v>
      </c>
      <c r="N3" t="s">
        <v>69</v>
      </c>
      <c r="O3" t="str">
        <f>_xlfn.CONCAT(StatusTbl[[#This Row],[StatusName]],"~",TEXT(StatusTbl[[#This Row],[ID]],"0000"))</f>
        <v>Completed~0002</v>
      </c>
      <c r="Q3">
        <v>2192</v>
      </c>
      <c r="R3" s="1" t="s">
        <v>75</v>
      </c>
      <c r="S3" t="str">
        <f>_xlfn.CONCAT(EMPTbl[[#This Row],[Empname]],"~",TEXT(EMPTbl[[#This Row],[Empid]],"00000"))</f>
        <v>Adhil Shaji~02192</v>
      </c>
    </row>
    <row r="4" spans="1:19" x14ac:dyDescent="0.25">
      <c r="A4">
        <v>3</v>
      </c>
      <c r="B4" t="s">
        <v>4</v>
      </c>
      <c r="C4" t="str">
        <f>_xlfn.CONCAT(AreaMasterTBL[[#This Row],[AreaName]],"~",TEXT(AreaMasterTBL[[#This Row],[ID]],"0000"))</f>
        <v>MLD~0003</v>
      </c>
      <c r="E4">
        <v>3</v>
      </c>
      <c r="F4" t="s">
        <v>21</v>
      </c>
      <c r="G4" t="str">
        <f>_xlfn.CONCAT(TaskMasterTBL[[#This Row],[TaskName]],"~",TEXT(TaskMasterTBL[[#This Row],[ID]],"0000"))</f>
        <v>LLT Release~0003</v>
      </c>
      <c r="I4">
        <v>3</v>
      </c>
      <c r="J4" t="s">
        <v>60</v>
      </c>
      <c r="K4" t="str">
        <f>_xlfn.CONCAT(TaskTypeTBL[[#This Row],[TaskTypeName]],"~",TEXT(TaskTypeTBL[[#This Row],[ID]],"0000"))</f>
        <v>Evaluation~0003</v>
      </c>
      <c r="M4">
        <v>3</v>
      </c>
      <c r="N4" t="s">
        <v>70</v>
      </c>
      <c r="O4" t="str">
        <f>_xlfn.CONCAT(StatusTbl[[#This Row],[StatusName]],"~",TEXT(StatusTbl[[#This Row],[ID]],"0000"))</f>
        <v>Not yet started~0003</v>
      </c>
      <c r="Q4">
        <v>2355</v>
      </c>
      <c r="R4" s="1" t="s">
        <v>76</v>
      </c>
      <c r="S4" t="str">
        <f>_xlfn.CONCAT(EMPTbl[[#This Row],[Empname]],"~",TEXT(EMPTbl[[#This Row],[Empid]],"00000"))</f>
        <v>Aishwarya Rai P~02355</v>
      </c>
    </row>
    <row r="5" spans="1:19" x14ac:dyDescent="0.25">
      <c r="A5">
        <v>4</v>
      </c>
      <c r="B5" t="s">
        <v>5</v>
      </c>
      <c r="C5" t="str">
        <f>_xlfn.CONCAT(AreaMasterTBL[[#This Row],[AreaName]],"~",TEXT(AreaMasterTBL[[#This Row],[ID]],"0000"))</f>
        <v>MCL~0004</v>
      </c>
      <c r="E5">
        <v>4</v>
      </c>
      <c r="F5" t="s">
        <v>22</v>
      </c>
      <c r="G5" t="str">
        <f>_xlfn.CONCAT(TaskMasterTBL[[#This Row],[TaskName]],"~",TEXT(TaskMasterTBL[[#This Row],[ID]],"0000"))</f>
        <v>Project Design~0004</v>
      </c>
      <c r="I5">
        <v>4</v>
      </c>
      <c r="J5" t="s">
        <v>61</v>
      </c>
      <c r="K5" t="str">
        <f>_xlfn.CONCAT(TaskTypeTBL[[#This Row],[TaskTypeName]],"~",TEXT(TaskTypeTBL[[#This Row],[ID]],"0000"))</f>
        <v>Project Revision~0004</v>
      </c>
      <c r="Q5">
        <v>2383</v>
      </c>
      <c r="R5" s="1" t="s">
        <v>77</v>
      </c>
      <c r="S5" t="str">
        <f>_xlfn.CONCAT(EMPTbl[[#This Row],[Empname]],"~",TEXT(EMPTbl[[#This Row],[Empid]],"00000"))</f>
        <v>Ajithkumar~02383</v>
      </c>
    </row>
    <row r="6" spans="1:19" x14ac:dyDescent="0.25">
      <c r="A6">
        <v>5</v>
      </c>
      <c r="B6" t="s">
        <v>6</v>
      </c>
      <c r="C6" t="str">
        <f>_xlfn.CONCAT(AreaMasterTBL[[#This Row],[AreaName]],"~",TEXT(AreaMasterTBL[[#This Row],[ID]],"0000"))</f>
        <v>MCF~0005</v>
      </c>
      <c r="E6">
        <v>5</v>
      </c>
      <c r="F6" t="s">
        <v>23</v>
      </c>
      <c r="G6" t="str">
        <f>_xlfn.CONCAT(TaskMasterTBL[[#This Row],[TaskName]],"~",TEXT(TaskMasterTBL[[#This Row],[ID]],"0000"))</f>
        <v>Project Checking~0005</v>
      </c>
      <c r="I6">
        <v>5</v>
      </c>
      <c r="J6" t="s">
        <v>62</v>
      </c>
      <c r="K6" t="str">
        <f>_xlfn.CONCAT(TaskTypeTBL[[#This Row],[TaskTypeName]],"~",TEXT(TaskTypeTBL[[#This Row],[ID]],"0000"))</f>
        <v>Development Revision~0005</v>
      </c>
      <c r="Q6">
        <v>2454</v>
      </c>
      <c r="R6" s="1" t="s">
        <v>78</v>
      </c>
      <c r="S6" t="str">
        <f>_xlfn.CONCAT(EMPTbl[[#This Row],[Empname]],"~",TEXT(EMPTbl[[#This Row],[Empid]],"00000"))</f>
        <v>ALEX PANDIYAN~02454</v>
      </c>
    </row>
    <row r="7" spans="1:19" x14ac:dyDescent="0.25">
      <c r="A7">
        <v>6</v>
      </c>
      <c r="B7" t="s">
        <v>7</v>
      </c>
      <c r="C7" t="str">
        <f>_xlfn.CONCAT(AreaMasterTBL[[#This Row],[AreaName]],"~",TEXT(AreaMasterTBL[[#This Row],[ID]],"0000"))</f>
        <v>MCA~0006</v>
      </c>
      <c r="E7">
        <v>6</v>
      </c>
      <c r="F7" t="s">
        <v>24</v>
      </c>
      <c r="G7" t="str">
        <f>_xlfn.CONCAT(TaskMasterTBL[[#This Row],[TaskName]],"~",TEXT(TaskMasterTBL[[#This Row],[ID]],"0000"))</f>
        <v>Project Release~0006</v>
      </c>
      <c r="I7">
        <v>6</v>
      </c>
      <c r="J7" t="s">
        <v>39</v>
      </c>
      <c r="K7" t="str">
        <f>_xlfn.CONCAT(TaskTypeTBL[[#This Row],[TaskTypeName]],"~",TEXT(TaskTypeTBL[[#This Row],[ID]],"0000"))</f>
        <v>Training~0006</v>
      </c>
      <c r="Q7">
        <v>2127</v>
      </c>
      <c r="R7" s="1" t="s">
        <v>79</v>
      </c>
      <c r="S7" t="str">
        <f>_xlfn.CONCAT(EMPTbl[[#This Row],[Empname]],"~",TEXT(EMPTbl[[#This Row],[Empid]],"00000"))</f>
        <v>Anandha Ganesh Moorthi.A~02127</v>
      </c>
    </row>
    <row r="8" spans="1:19" x14ac:dyDescent="0.25">
      <c r="A8">
        <v>7</v>
      </c>
      <c r="B8" t="s">
        <v>8</v>
      </c>
      <c r="C8" t="str">
        <f>_xlfn.CONCAT(AreaMasterTBL[[#This Row],[AreaName]],"~",TEXT(AreaMasterTBL[[#This Row],[ID]],"0000"))</f>
        <v>MECH~0007</v>
      </c>
      <c r="E8">
        <v>7</v>
      </c>
      <c r="F8" t="s">
        <v>25</v>
      </c>
      <c r="G8" t="str">
        <f>_xlfn.CONCAT(TaskMasterTBL[[#This Row],[TaskName]],"~",TEXT(TaskMasterTBL[[#This Row],[ID]],"0000"))</f>
        <v>Testing &amp; Evaluation~0007</v>
      </c>
      <c r="I8">
        <v>7</v>
      </c>
      <c r="J8" t="s">
        <v>40</v>
      </c>
      <c r="K8" t="str">
        <f>_xlfn.CONCAT(TaskTypeTBL[[#This Row],[TaskTypeName]],"~",TEXT(TaskTypeTBL[[#This Row],[ID]],"0000"))</f>
        <v>Meeting~0007</v>
      </c>
      <c r="Q8">
        <v>2185</v>
      </c>
      <c r="R8" s="1" t="s">
        <v>80</v>
      </c>
      <c r="S8" t="str">
        <f>_xlfn.CONCAT(EMPTbl[[#This Row],[Empname]],"~",TEXT(EMPTbl[[#This Row],[Empid]],"00000"))</f>
        <v>Appu Suresh~02185</v>
      </c>
    </row>
    <row r="9" spans="1:19" x14ac:dyDescent="0.25">
      <c r="A9">
        <v>8</v>
      </c>
      <c r="B9" t="s">
        <v>9</v>
      </c>
      <c r="C9" t="str">
        <f>_xlfn.CONCAT(AreaMasterTBL[[#This Row],[AreaName]],"~",TEXT(AreaMasterTBL[[#This Row],[ID]],"0000"))</f>
        <v>ELEC~0008</v>
      </c>
      <c r="E9">
        <v>8</v>
      </c>
      <c r="F9" t="s">
        <v>26</v>
      </c>
      <c r="G9" t="str">
        <f>_xlfn.CONCAT(TaskMasterTBL[[#This Row],[TaskName]],"~",TEXT(TaskMasterTBL[[#This Row],[ID]],"0000"))</f>
        <v>Product Design~0008</v>
      </c>
      <c r="I9">
        <v>8</v>
      </c>
      <c r="J9" t="s">
        <v>63</v>
      </c>
      <c r="K9" t="str">
        <f>_xlfn.CONCAT(TaskTypeTBL[[#This Row],[TaskTypeName]],"~",TEXT(TaskTypeTBL[[#This Row],[ID]],"0000"))</f>
        <v>Modification Enquiry~0008</v>
      </c>
      <c r="Q9">
        <v>2334</v>
      </c>
      <c r="R9" s="1" t="s">
        <v>81</v>
      </c>
      <c r="S9" t="str">
        <f>_xlfn.CONCAT(EMPTbl[[#This Row],[Empname]],"~",TEXT(EMPTbl[[#This Row],[Empid]],"00000"))</f>
        <v>Ashok Raja N~02334</v>
      </c>
    </row>
    <row r="10" spans="1:19" x14ac:dyDescent="0.25">
      <c r="A10">
        <v>9</v>
      </c>
      <c r="B10" t="s">
        <v>10</v>
      </c>
      <c r="C10" t="str">
        <f>_xlfn.CONCAT(AreaMasterTBL[[#This Row],[AreaName]],"~",TEXT(AreaMasterTBL[[#This Row],[ID]],"0000"))</f>
        <v>ELD~0009</v>
      </c>
      <c r="E10">
        <v>9</v>
      </c>
      <c r="F10" t="s">
        <v>27</v>
      </c>
      <c r="G10" t="str">
        <f>_xlfn.CONCAT(TaskMasterTBL[[#This Row],[TaskName]],"~",TEXT(TaskMasterTBL[[#This Row],[ID]],"0000"))</f>
        <v>Product Checking~0009</v>
      </c>
      <c r="I10">
        <v>9</v>
      </c>
      <c r="J10" t="s">
        <v>64</v>
      </c>
      <c r="K10" t="str">
        <f>_xlfn.CONCAT(TaskTypeTBL[[#This Row],[TaskTypeName]],"~",TEXT(TaskTypeTBL[[#This Row],[ID]],"0000"))</f>
        <v>Modification Order~0009</v>
      </c>
      <c r="Q10">
        <v>2057</v>
      </c>
      <c r="R10" s="1" t="s">
        <v>82</v>
      </c>
      <c r="S10" t="str">
        <f>_xlfn.CONCAT(EMPTbl[[#This Row],[Empname]],"~",TEXT(EMPTbl[[#This Row],[Empid]],"00000"))</f>
        <v>Atsushi Tanishiki~02057</v>
      </c>
    </row>
    <row r="11" spans="1:19" x14ac:dyDescent="0.25">
      <c r="A11">
        <v>10</v>
      </c>
      <c r="B11" t="s">
        <v>11</v>
      </c>
      <c r="C11" t="str">
        <f>_xlfn.CONCAT(AreaMasterTBL[[#This Row],[AreaName]],"~",TEXT(AreaMasterTBL[[#This Row],[ID]],"0000"))</f>
        <v>ECA~0010</v>
      </c>
      <c r="E11">
        <v>10</v>
      </c>
      <c r="F11" t="s">
        <v>28</v>
      </c>
      <c r="G11" t="str">
        <f>_xlfn.CONCAT(TaskMasterTBL[[#This Row],[TaskName]],"~",TEXT(TaskMasterTBL[[#This Row],[ID]],"0000"))</f>
        <v>Product Release~0010</v>
      </c>
      <c r="I11">
        <v>10</v>
      </c>
      <c r="J11" t="s">
        <v>65</v>
      </c>
      <c r="K11" t="str">
        <f>_xlfn.CONCAT(TaskTypeTBL[[#This Row],[TaskTypeName]],"~",TEXT(TaskTypeTBL[[#This Row],[ID]],"0000"))</f>
        <v>Error &amp; Trouble~0010</v>
      </c>
      <c r="Q11">
        <v>2050</v>
      </c>
      <c r="R11" s="1" t="s">
        <v>83</v>
      </c>
      <c r="S11" t="str">
        <f>_xlfn.CONCAT(EMPTbl[[#This Row],[Empname]],"~",TEXT(EMPTbl[[#This Row],[Empid]],"00000"))</f>
        <v>Ayyappan Muthusamy~02050</v>
      </c>
    </row>
    <row r="12" spans="1:19" x14ac:dyDescent="0.25">
      <c r="A12">
        <v>11</v>
      </c>
      <c r="B12" t="s">
        <v>12</v>
      </c>
      <c r="C12" t="str">
        <f>_xlfn.CONCAT(AreaMasterTBL[[#This Row],[AreaName]],"~",TEXT(AreaMasterTBL[[#This Row],[ID]],"0000"))</f>
        <v>EMR~0011</v>
      </c>
      <c r="E12">
        <v>25</v>
      </c>
      <c r="F12" t="s">
        <v>29</v>
      </c>
      <c r="G12" t="str">
        <f>_xlfn.CONCAT(TaskMasterTBL[[#This Row],[TaskName]],"~",TEXT(TaskMasterTBL[[#This Row],[ID]],"0000"))</f>
        <v>Standardization Design~0025</v>
      </c>
      <c r="I12">
        <v>11</v>
      </c>
      <c r="J12" t="s">
        <v>17</v>
      </c>
      <c r="K12" t="str">
        <f>_xlfn.CONCAT(TaskTypeTBL[[#This Row],[TaskTypeName]],"~",TEXT(TaskTypeTBL[[#This Row],[ID]],"0000"))</f>
        <v>Others~0011</v>
      </c>
      <c r="Q12" s="1" t="s">
        <v>84</v>
      </c>
      <c r="R12" s="1" t="s">
        <v>85</v>
      </c>
      <c r="S12" t="str">
        <f>_xlfn.CONCAT(EMPTbl[[#This Row],[Empname]],"~",TEXT(EMPTbl[[#This Row],[Empid]],"00000"))</f>
        <v>Babu~FC0002</v>
      </c>
    </row>
    <row r="13" spans="1:19" x14ac:dyDescent="0.25">
      <c r="A13">
        <v>12</v>
      </c>
      <c r="B13" t="s">
        <v>13</v>
      </c>
      <c r="C13" t="str">
        <f>_xlfn.CONCAT(AreaMasterTBL[[#This Row],[AreaName]],"~",TEXT(AreaMasterTBL[[#This Row],[ID]],"0000"))</f>
        <v>EHW~0012</v>
      </c>
      <c r="E13">
        <v>1025</v>
      </c>
      <c r="F13" t="s">
        <v>19</v>
      </c>
      <c r="G13" t="str">
        <f>_xlfn.CONCAT(TaskMasterTBL[[#This Row],[TaskName]],"~",TEXT(TaskMasterTBL[[#This Row],[ID]],"0000"))</f>
        <v>LLT Design~1025</v>
      </c>
      <c r="I13">
        <v>1003</v>
      </c>
      <c r="J13" t="s">
        <v>66</v>
      </c>
      <c r="K13" t="str">
        <f>_xlfn.CONCAT(TaskTypeTBL[[#This Row],[TaskTypeName]],"~",TEXT(TaskTypeTBL[[#This Row],[ID]],"0000"))</f>
        <v>Standardization~1003</v>
      </c>
      <c r="Q13" s="1" t="s">
        <v>86</v>
      </c>
      <c r="R13" s="1" t="s">
        <v>87</v>
      </c>
      <c r="S13" t="str">
        <f>_xlfn.CONCAT(EMPTbl[[#This Row],[Empname]],"~",TEXT(EMPTbl[[#This Row],[Empid]],"00000"))</f>
        <v>Bhuvanesh D~FC0012</v>
      </c>
    </row>
    <row r="14" spans="1:19" x14ac:dyDescent="0.25">
      <c r="A14">
        <v>13</v>
      </c>
      <c r="B14" t="s">
        <v>14</v>
      </c>
      <c r="C14" t="str">
        <f>_xlfn.CONCAT(AreaMasterTBL[[#This Row],[AreaName]],"~",TEXT(AreaMasterTBL[[#This Row],[ID]],"0000"))</f>
        <v>ECM~0013</v>
      </c>
      <c r="E14">
        <v>1026</v>
      </c>
      <c r="F14" t="s">
        <v>20</v>
      </c>
      <c r="G14" t="str">
        <f>_xlfn.CONCAT(TaskMasterTBL[[#This Row],[TaskName]],"~",TEXT(TaskMasterTBL[[#This Row],[ID]],"0000"))</f>
        <v>LLT Checking~1026</v>
      </c>
      <c r="Q14">
        <v>2072</v>
      </c>
      <c r="R14" s="1" t="s">
        <v>88</v>
      </c>
      <c r="S14" t="str">
        <f>_xlfn.CONCAT(EMPTbl[[#This Row],[Empname]],"~",TEXT(EMPTbl[[#This Row],[Empid]],"00000"))</f>
        <v>Boopathi Karthick.M~02072</v>
      </c>
    </row>
    <row r="15" spans="1:19" x14ac:dyDescent="0.25">
      <c r="A15">
        <v>14</v>
      </c>
      <c r="B15" t="s">
        <v>15</v>
      </c>
      <c r="C15" t="str">
        <f>_xlfn.CONCAT(AreaMasterTBL[[#This Row],[AreaName]],"~",TEXT(AreaMasterTBL[[#This Row],[ID]],"0000"))</f>
        <v>MECH-LLT~0014</v>
      </c>
      <c r="E15">
        <v>1027</v>
      </c>
      <c r="F15" t="s">
        <v>21</v>
      </c>
      <c r="G15" t="str">
        <f>_xlfn.CONCAT(TaskMasterTBL[[#This Row],[TaskName]],"~",TEXT(TaskMasterTBL[[#This Row],[ID]],"0000"))</f>
        <v>LLT Release~1027</v>
      </c>
      <c r="Q15" s="1" t="s">
        <v>89</v>
      </c>
      <c r="R15" s="1" t="s">
        <v>90</v>
      </c>
      <c r="S15" t="str">
        <f>_xlfn.CONCAT(EMPTbl[[#This Row],[Empname]],"~",TEXT(EMPTbl[[#This Row],[Empid]],"00000"))</f>
        <v>Deepak Kumar L~FC0018</v>
      </c>
    </row>
    <row r="16" spans="1:19" x14ac:dyDescent="0.25">
      <c r="A16">
        <v>15</v>
      </c>
      <c r="B16" t="s">
        <v>16</v>
      </c>
      <c r="C16" t="str">
        <f>_xlfn.CONCAT(AreaMasterTBL[[#This Row],[AreaName]],"~",TEXT(AreaMasterTBL[[#This Row],[ID]],"0000"))</f>
        <v>ELEC-LLT~0015</v>
      </c>
      <c r="E16">
        <v>1028</v>
      </c>
      <c r="F16" t="s">
        <v>22</v>
      </c>
      <c r="G16" t="str">
        <f>_xlfn.CONCAT(TaskMasterTBL[[#This Row],[TaskName]],"~",TEXT(TaskMasterTBL[[#This Row],[ID]],"0000"))</f>
        <v>Project Design~1028</v>
      </c>
      <c r="Q16">
        <v>2155</v>
      </c>
      <c r="R16" s="1" t="s">
        <v>91</v>
      </c>
      <c r="S16" t="str">
        <f>_xlfn.CONCAT(EMPTbl[[#This Row],[Empname]],"~",TEXT(EMPTbl[[#This Row],[Empid]],"00000"))</f>
        <v>Dhinesh.S~02155</v>
      </c>
    </row>
    <row r="17" spans="1:19" x14ac:dyDescent="0.25">
      <c r="A17">
        <v>16</v>
      </c>
      <c r="B17" t="s">
        <v>17</v>
      </c>
      <c r="C17" t="str">
        <f>_xlfn.CONCAT(AreaMasterTBL[[#This Row],[AreaName]],"~",TEXT(AreaMasterTBL[[#This Row],[ID]],"0000"))</f>
        <v>Others~0016</v>
      </c>
      <c r="E17">
        <v>1029</v>
      </c>
      <c r="F17" t="s">
        <v>23</v>
      </c>
      <c r="G17" t="str">
        <f>_xlfn.CONCAT(TaskMasterTBL[[#This Row],[TaskName]],"~",TEXT(TaskMasterTBL[[#This Row],[ID]],"0000"))</f>
        <v>Project Checking~1029</v>
      </c>
      <c r="Q17">
        <v>2352</v>
      </c>
      <c r="R17" s="1" t="s">
        <v>92</v>
      </c>
      <c r="S17" t="str">
        <f>_xlfn.CONCAT(EMPTbl[[#This Row],[Empname]],"~",TEXT(EMPTbl[[#This Row],[Empid]],"00000"))</f>
        <v>Diana Veronica M~02352</v>
      </c>
    </row>
    <row r="18" spans="1:19" x14ac:dyDescent="0.25">
      <c r="E18">
        <v>1030</v>
      </c>
      <c r="F18" t="s">
        <v>24</v>
      </c>
      <c r="G18" t="str">
        <f>_xlfn.CONCAT(TaskMasterTBL[[#This Row],[TaskName]],"~",TEXT(TaskMasterTBL[[#This Row],[ID]],"0000"))</f>
        <v>Project Release~1030</v>
      </c>
      <c r="Q18">
        <v>2179</v>
      </c>
      <c r="R18" s="1" t="s">
        <v>93</v>
      </c>
      <c r="S18" t="str">
        <f>_xlfn.CONCAT(EMPTbl[[#This Row],[Empname]],"~",TEXT(EMPTbl[[#This Row],[Empid]],"00000"))</f>
        <v>Dinesh G~02179</v>
      </c>
    </row>
    <row r="19" spans="1:19" x14ac:dyDescent="0.25">
      <c r="E19">
        <v>1031</v>
      </c>
      <c r="F19" t="s">
        <v>25</v>
      </c>
      <c r="G19" t="str">
        <f>_xlfn.CONCAT(TaskMasterTBL[[#This Row],[TaskName]],"~",TEXT(TaskMasterTBL[[#This Row],[ID]],"0000"))</f>
        <v>Testing &amp; Evaluation~1031</v>
      </c>
      <c r="Q19" s="1" t="s">
        <v>94</v>
      </c>
      <c r="R19" s="1" t="s">
        <v>95</v>
      </c>
      <c r="S19" t="str">
        <f>_xlfn.CONCAT(EMPTbl[[#This Row],[Empname]],"~",TEXT(EMPTbl[[#This Row],[Empid]],"00000"))</f>
        <v>Dinesh T~FC0007</v>
      </c>
    </row>
    <row r="20" spans="1:19" x14ac:dyDescent="0.25">
      <c r="E20">
        <v>1032</v>
      </c>
      <c r="F20" t="s">
        <v>26</v>
      </c>
      <c r="G20" t="str">
        <f>_xlfn.CONCAT(TaskMasterTBL[[#This Row],[TaskName]],"~",TEXT(TaskMasterTBL[[#This Row],[ID]],"0000"))</f>
        <v>Product Design~1032</v>
      </c>
      <c r="Q20">
        <v>2374</v>
      </c>
      <c r="R20" s="1" t="s">
        <v>96</v>
      </c>
      <c r="S20" t="str">
        <f>_xlfn.CONCAT(EMPTbl[[#This Row],[Empname]],"~",TEXT(EMPTbl[[#This Row],[Empid]],"00000"))</f>
        <v>Dineshkannan S~02374</v>
      </c>
    </row>
    <row r="21" spans="1:19" x14ac:dyDescent="0.25">
      <c r="E21">
        <v>1033</v>
      </c>
      <c r="F21" t="s">
        <v>27</v>
      </c>
      <c r="G21" t="str">
        <f>_xlfn.CONCAT(TaskMasterTBL[[#This Row],[TaskName]],"~",TEXT(TaskMasterTBL[[#This Row],[ID]],"0000"))</f>
        <v>Product Checking~1033</v>
      </c>
      <c r="Q21">
        <v>2183</v>
      </c>
      <c r="R21" s="1" t="s">
        <v>97</v>
      </c>
      <c r="S21" t="str">
        <f>_xlfn.CONCAT(EMPTbl[[#This Row],[Empname]],"~",TEXT(EMPTbl[[#This Row],[Empid]],"00000"))</f>
        <v>Ebin Baju~02183</v>
      </c>
    </row>
    <row r="22" spans="1:19" x14ac:dyDescent="0.25">
      <c r="E22">
        <v>1034</v>
      </c>
      <c r="F22" t="s">
        <v>28</v>
      </c>
      <c r="G22" t="str">
        <f>_xlfn.CONCAT(TaskMasterTBL[[#This Row],[TaskName]],"~",TEXT(TaskMasterTBL[[#This Row],[ID]],"0000"))</f>
        <v>Product Release~1034</v>
      </c>
      <c r="Q22" s="1" t="s">
        <v>98</v>
      </c>
      <c r="R22" s="1" t="s">
        <v>99</v>
      </c>
      <c r="S22" t="str">
        <f>_xlfn.CONCAT(EMPTbl[[#This Row],[Empname]],"~",TEXT(EMPTbl[[#This Row],[Empid]],"00000"))</f>
        <v>Ganeshprabhu~FC0008</v>
      </c>
    </row>
    <row r="23" spans="1:19" x14ac:dyDescent="0.25">
      <c r="E23">
        <v>1035</v>
      </c>
      <c r="F23" t="s">
        <v>29</v>
      </c>
      <c r="G23" t="str">
        <f>_xlfn.CONCAT(TaskMasterTBL[[#This Row],[TaskName]],"~",TEXT(TaskMasterTBL[[#This Row],[ID]],"0000"))</f>
        <v>Standardization Design~1035</v>
      </c>
      <c r="Q23" s="1" t="s">
        <v>100</v>
      </c>
      <c r="R23" s="1" t="s">
        <v>101</v>
      </c>
      <c r="S23" t="str">
        <f>_xlfn.CONCAT(EMPTbl[[#This Row],[Empname]],"~",TEXT(EMPTbl[[#This Row],[Empid]],"00000"))</f>
        <v>Gayathri P~FC0006</v>
      </c>
    </row>
    <row r="24" spans="1:19" x14ac:dyDescent="0.25">
      <c r="E24">
        <v>1036</v>
      </c>
      <c r="F24" t="s">
        <v>30</v>
      </c>
      <c r="G24" t="str">
        <f>_xlfn.CONCAT(TaskMasterTBL[[#This Row],[TaskName]],"~",TEXT(TaskMasterTBL[[#This Row],[ID]],"0000"))</f>
        <v>Revision Design~1036</v>
      </c>
      <c r="Q24">
        <v>2190</v>
      </c>
      <c r="R24" s="1" t="s">
        <v>102</v>
      </c>
      <c r="S24" t="str">
        <f>_xlfn.CONCAT(EMPTbl[[#This Row],[Empname]],"~",TEXT(EMPTbl[[#This Row],[Empid]],"00000"))</f>
        <v>Gokul.G~02190</v>
      </c>
    </row>
    <row r="25" spans="1:19" x14ac:dyDescent="0.25">
      <c r="E25">
        <v>1037</v>
      </c>
      <c r="F25" t="s">
        <v>31</v>
      </c>
      <c r="G25" t="str">
        <f>_xlfn.CONCAT(TaskMasterTBL[[#This Row],[TaskName]],"~",TEXT(TaskMasterTBL[[#This Row],[ID]],"0000"))</f>
        <v>Revision Checking~1037</v>
      </c>
      <c r="Q25">
        <v>2075</v>
      </c>
      <c r="R25" s="1" t="s">
        <v>103</v>
      </c>
      <c r="S25" t="str">
        <f>_xlfn.CONCAT(EMPTbl[[#This Row],[Empname]],"~",TEXT(EMPTbl[[#This Row],[Empid]],"00000"))</f>
        <v>Gopala Krishnan.M~02075</v>
      </c>
    </row>
    <row r="26" spans="1:19" x14ac:dyDescent="0.25">
      <c r="E26">
        <v>1038</v>
      </c>
      <c r="F26" t="s">
        <v>32</v>
      </c>
      <c r="G26" t="str">
        <f>_xlfn.CONCAT(TaskMasterTBL[[#This Row],[TaskName]],"~",TEXT(TaskMasterTBL[[#This Row],[ID]],"0000"))</f>
        <v>Revision Release~1038</v>
      </c>
      <c r="Q26" s="1" t="s">
        <v>104</v>
      </c>
      <c r="R26" s="1" t="s">
        <v>105</v>
      </c>
      <c r="S26" t="str">
        <f>_xlfn.CONCAT(EMPTbl[[#This Row],[Empname]],"~",TEXT(EMPTbl[[#This Row],[Empid]],"00000"))</f>
        <v>Gopinath P~FC0017</v>
      </c>
    </row>
    <row r="27" spans="1:19" x14ac:dyDescent="0.25">
      <c r="E27">
        <v>1039</v>
      </c>
      <c r="F27" t="s">
        <v>33</v>
      </c>
      <c r="G27" t="str">
        <f>_xlfn.CONCAT(TaskMasterTBL[[#This Row],[TaskName]],"~",TEXT(TaskMasterTBL[[#This Row],[ID]],"0000"))</f>
        <v>Mod. Enquiry Study~1039</v>
      </c>
      <c r="Q27">
        <v>2106</v>
      </c>
      <c r="R27" s="1" t="s">
        <v>106</v>
      </c>
      <c r="S27" t="str">
        <f>_xlfn.CONCAT(EMPTbl[[#This Row],[Empname]],"~",TEXT(EMPTbl[[#This Row],[Empid]],"00000"))</f>
        <v>Jagath S~02106</v>
      </c>
    </row>
    <row r="28" spans="1:19" x14ac:dyDescent="0.25">
      <c r="E28">
        <v>1040</v>
      </c>
      <c r="F28" t="s">
        <v>34</v>
      </c>
      <c r="G28" t="str">
        <f>_xlfn.CONCAT(TaskMasterTBL[[#This Row],[TaskName]],"~",TEXT(TaskMasterTBL[[#This Row],[ID]],"0000"))</f>
        <v>Mod. Enquiry Checking~1040</v>
      </c>
      <c r="Q28" s="1" t="s">
        <v>107</v>
      </c>
      <c r="R28" s="1" t="s">
        <v>108</v>
      </c>
      <c r="S28" t="str">
        <f>_xlfn.CONCAT(EMPTbl[[#This Row],[Empname]],"~",TEXT(EMPTbl[[#This Row],[Empid]],"00000"))</f>
        <v>Janarthanan~FC0014</v>
      </c>
    </row>
    <row r="29" spans="1:19" x14ac:dyDescent="0.25">
      <c r="E29">
        <v>1041</v>
      </c>
      <c r="F29" t="s">
        <v>35</v>
      </c>
      <c r="G29" t="str">
        <f>_xlfn.CONCAT(TaskMasterTBL[[#This Row],[TaskName]],"~",TEXT(TaskMasterTBL[[#This Row],[ID]],"0000"))</f>
        <v>Mod. Enquiry Release~1041</v>
      </c>
      <c r="Q29" s="1" t="s">
        <v>109</v>
      </c>
      <c r="R29" s="1" t="s">
        <v>110</v>
      </c>
      <c r="S29" t="str">
        <f>_xlfn.CONCAT(EMPTbl[[#This Row],[Empname]],"~",TEXT(EMPTbl[[#This Row],[Empid]],"00000"))</f>
        <v>Jayamathan G~FC0004</v>
      </c>
    </row>
    <row r="30" spans="1:19" x14ac:dyDescent="0.25">
      <c r="E30">
        <v>1042</v>
      </c>
      <c r="F30" t="s">
        <v>36</v>
      </c>
      <c r="G30" t="str">
        <f>_xlfn.CONCAT(TaskMasterTBL[[#This Row],[TaskName]],"~",TEXT(TaskMasterTBL[[#This Row],[ID]],"0000"))</f>
        <v>Mod. Order Design~1042</v>
      </c>
      <c r="Q30">
        <v>2199</v>
      </c>
      <c r="R30" s="1" t="s">
        <v>111</v>
      </c>
      <c r="S30" t="str">
        <f>_xlfn.CONCAT(EMPTbl[[#This Row],[Empname]],"~",TEXT(EMPTbl[[#This Row],[Empid]],"00000"))</f>
        <v>Jithin J~02199</v>
      </c>
    </row>
    <row r="31" spans="1:19" x14ac:dyDescent="0.25">
      <c r="E31">
        <v>1043</v>
      </c>
      <c r="F31" t="s">
        <v>37</v>
      </c>
      <c r="G31" t="str">
        <f>_xlfn.CONCAT(TaskMasterTBL[[#This Row],[TaskName]],"~",TEXT(TaskMasterTBL[[#This Row],[ID]],"0000"))</f>
        <v>Mod. Order Checking~1043</v>
      </c>
      <c r="Q31">
        <v>2330</v>
      </c>
      <c r="R31" s="1" t="s">
        <v>112</v>
      </c>
      <c r="S31" t="str">
        <f>_xlfn.CONCAT(EMPTbl[[#This Row],[Empname]],"~",TEXT(EMPTbl[[#This Row],[Empid]],"00000"))</f>
        <v>Jowinaath D~02330</v>
      </c>
    </row>
    <row r="32" spans="1:19" x14ac:dyDescent="0.25">
      <c r="E32">
        <v>1044</v>
      </c>
      <c r="F32" t="s">
        <v>38</v>
      </c>
      <c r="G32" t="str">
        <f>_xlfn.CONCAT(TaskMasterTBL[[#This Row],[TaskName]],"~",TEXT(TaskMasterTBL[[#This Row],[ID]],"0000"))</f>
        <v>Mod. Order Release~1044</v>
      </c>
      <c r="Q32">
        <v>1947</v>
      </c>
      <c r="R32" s="1" t="s">
        <v>113</v>
      </c>
      <c r="S32" t="str">
        <f>_xlfn.CONCAT(EMPTbl[[#This Row],[Empname]],"~",TEXT(EMPTbl[[#This Row],[Empid]],"00000"))</f>
        <v>Kanishkan Palanisamy~01947</v>
      </c>
    </row>
    <row r="33" spans="5:19" x14ac:dyDescent="0.25">
      <c r="E33">
        <v>1045</v>
      </c>
      <c r="F33" t="s">
        <v>39</v>
      </c>
      <c r="G33" t="str">
        <f>_xlfn.CONCAT(TaskMasterTBL[[#This Row],[TaskName]],"~",TEXT(TaskMasterTBL[[#This Row],[ID]],"0000"))</f>
        <v>Training~1045</v>
      </c>
      <c r="Q33">
        <v>2398</v>
      </c>
      <c r="R33" s="1" t="s">
        <v>114</v>
      </c>
      <c r="S33" t="str">
        <f>_xlfn.CONCAT(EMPTbl[[#This Row],[Empname]],"~",TEXT(EMPTbl[[#This Row],[Empid]],"00000"))</f>
        <v>Karthik~02398</v>
      </c>
    </row>
    <row r="34" spans="5:19" x14ac:dyDescent="0.25">
      <c r="E34">
        <v>1046</v>
      </c>
      <c r="F34" t="s">
        <v>40</v>
      </c>
      <c r="G34" t="str">
        <f>_xlfn.CONCAT(TaskMasterTBL[[#This Row],[TaskName]],"~",TEXT(TaskMasterTBL[[#This Row],[ID]],"0000"))</f>
        <v>Meeting~1046</v>
      </c>
      <c r="Q34">
        <v>2310</v>
      </c>
      <c r="R34" s="1" t="s">
        <v>115</v>
      </c>
      <c r="S34" t="str">
        <f>_xlfn.CONCAT(EMPTbl[[#This Row],[Empname]],"~",TEXT(EMPTbl[[#This Row],[Empid]],"00000"))</f>
        <v>Karthik R~02310</v>
      </c>
    </row>
    <row r="35" spans="5:19" x14ac:dyDescent="0.25">
      <c r="E35">
        <v>1047</v>
      </c>
      <c r="F35" t="s">
        <v>41</v>
      </c>
      <c r="G35" t="str">
        <f>_xlfn.CONCAT(TaskMasterTBL[[#This Row],[TaskName]],"~",TEXT(TaskMasterTBL[[#This Row],[ID]],"0000"))</f>
        <v>ET Action~1047</v>
      </c>
      <c r="Q35">
        <v>2400</v>
      </c>
      <c r="R35" s="1" t="s">
        <v>116</v>
      </c>
      <c r="S35" t="str">
        <f>_xlfn.CONCAT(EMPTbl[[#This Row],[Empname]],"~",TEXT(EMPTbl[[#This Row],[Empid]],"00000"))</f>
        <v>Karthik Saravanan~02400</v>
      </c>
    </row>
    <row r="36" spans="5:19" x14ac:dyDescent="0.25">
      <c r="E36">
        <v>1048</v>
      </c>
      <c r="F36" t="s">
        <v>17</v>
      </c>
      <c r="G36" t="str">
        <f>_xlfn.CONCAT(TaskMasterTBL[[#This Row],[TaskName]],"~",TEXT(TaskMasterTBL[[#This Row],[ID]],"0000"))</f>
        <v>Others~1048</v>
      </c>
      <c r="Q36">
        <v>2090</v>
      </c>
      <c r="R36" s="1" t="s">
        <v>117</v>
      </c>
      <c r="S36" t="str">
        <f>_xlfn.CONCAT(EMPTbl[[#This Row],[Empname]],"~",TEXT(EMPTbl[[#This Row],[Empid]],"00000"))</f>
        <v>Karthik.M~02090</v>
      </c>
    </row>
    <row r="37" spans="5:19" x14ac:dyDescent="0.25">
      <c r="E37">
        <v>1049</v>
      </c>
      <c r="F37" t="s">
        <v>29</v>
      </c>
      <c r="G37" t="str">
        <f>_xlfn.CONCAT(TaskMasterTBL[[#This Row],[TaskName]],"~",TEXT(TaskMasterTBL[[#This Row],[ID]],"0000"))</f>
        <v>Standardization Design~1049</v>
      </c>
      <c r="Q37">
        <v>2083</v>
      </c>
      <c r="R37" s="1" t="s">
        <v>118</v>
      </c>
      <c r="S37" t="str">
        <f>_xlfn.CONCAT(EMPTbl[[#This Row],[Empname]],"~",TEXT(EMPTbl[[#This Row],[Empid]],"00000"))</f>
        <v>Kavipriya P~02083</v>
      </c>
    </row>
    <row r="38" spans="5:19" x14ac:dyDescent="0.25">
      <c r="E38">
        <v>1050</v>
      </c>
      <c r="F38" t="s">
        <v>42</v>
      </c>
      <c r="G38" t="str">
        <f>_xlfn.CONCAT(TaskMasterTBL[[#This Row],[TaskName]],"~",TEXT(TaskMasterTBL[[#This Row],[ID]],"0000"))</f>
        <v>Software Design~1050</v>
      </c>
      <c r="Q38">
        <v>2432</v>
      </c>
      <c r="R38" s="1" t="s">
        <v>119</v>
      </c>
      <c r="S38" t="str">
        <f>_xlfn.CONCAT(EMPTbl[[#This Row],[Empname]],"~",TEXT(EMPTbl[[#This Row],[Empid]],"00000"))</f>
        <v>Kishore Kumar S~02432</v>
      </c>
    </row>
    <row r="39" spans="5:19" x14ac:dyDescent="0.25">
      <c r="E39">
        <v>1072</v>
      </c>
      <c r="F39" t="s">
        <v>17</v>
      </c>
      <c r="G39" t="str">
        <f>_xlfn.CONCAT(TaskMasterTBL[[#This Row],[TaskName]],"~",TEXT(TaskMasterTBL[[#This Row],[ID]],"0000"))</f>
        <v>Others~1072</v>
      </c>
      <c r="Q39">
        <v>1813</v>
      </c>
      <c r="R39" s="1" t="s">
        <v>120</v>
      </c>
      <c r="S39" t="str">
        <f>_xlfn.CONCAT(EMPTbl[[#This Row],[Empname]],"~",TEXT(EMPTbl[[#This Row],[Empid]],"00000"))</f>
        <v>Koji Morikawa~01813</v>
      </c>
    </row>
    <row r="40" spans="5:19" x14ac:dyDescent="0.25">
      <c r="E40">
        <v>1082</v>
      </c>
      <c r="F40" t="s">
        <v>43</v>
      </c>
      <c r="G40" t="str">
        <f>_xlfn.CONCAT(TaskMasterTBL[[#This Row],[TaskName]],"~",TEXT(TaskMasterTBL[[#This Row],[ID]],"0000"))</f>
        <v>Revision work - Self~1082</v>
      </c>
      <c r="Q40">
        <v>2397</v>
      </c>
      <c r="R40" s="1" t="s">
        <v>121</v>
      </c>
      <c r="S40" t="str">
        <f>_xlfn.CONCAT(EMPTbl[[#This Row],[Empname]],"~",TEXT(EMPTbl[[#This Row],[Empid]],"00000"))</f>
        <v>M.Kishore~02397</v>
      </c>
    </row>
    <row r="41" spans="5:19" x14ac:dyDescent="0.25">
      <c r="E41">
        <v>1083</v>
      </c>
      <c r="F41" t="s">
        <v>44</v>
      </c>
      <c r="G41" t="str">
        <f>_xlfn.CONCAT(TaskMasterTBL[[#This Row],[TaskName]],"~",TEXT(TaskMasterTBL[[#This Row],[ID]],"0000"))</f>
        <v>Revision work - Others~1083</v>
      </c>
      <c r="Q41">
        <v>230</v>
      </c>
      <c r="R41" s="1" t="s">
        <v>122</v>
      </c>
      <c r="S41" t="str">
        <f>_xlfn.CONCAT(EMPTbl[[#This Row],[Empname]],"~",TEXT(EMPTbl[[#This Row],[Empid]],"00000"))</f>
        <v>M.S.Arun Sankar~00230</v>
      </c>
    </row>
    <row r="42" spans="5:19" x14ac:dyDescent="0.25">
      <c r="E42">
        <v>1084</v>
      </c>
      <c r="F42" t="s">
        <v>44</v>
      </c>
      <c r="G42" t="str">
        <f>_xlfn.CONCAT(TaskMasterTBL[[#This Row],[TaskName]],"~",TEXT(TaskMasterTBL[[#This Row],[ID]],"0000"))</f>
        <v>Revision work - Others~1084</v>
      </c>
      <c r="Q42">
        <v>124</v>
      </c>
      <c r="R42" s="1" t="s">
        <v>123</v>
      </c>
      <c r="S42" t="str">
        <f>_xlfn.CONCAT(EMPTbl[[#This Row],[Empname]],"~",TEXT(EMPTbl[[#This Row],[Empid]],"00000"))</f>
        <v>M.Vanithamani~00124</v>
      </c>
    </row>
    <row r="43" spans="5:19" x14ac:dyDescent="0.25">
      <c r="E43">
        <v>1085</v>
      </c>
      <c r="F43" t="s">
        <v>44</v>
      </c>
      <c r="G43" t="str">
        <f>_xlfn.CONCAT(TaskMasterTBL[[#This Row],[TaskName]],"~",TEXT(TaskMasterTBL[[#This Row],[ID]],"0000"))</f>
        <v>Revision work - Others~1085</v>
      </c>
      <c r="Q43">
        <v>1757</v>
      </c>
      <c r="R43" s="1" t="s">
        <v>124</v>
      </c>
      <c r="S43" t="str">
        <f>_xlfn.CONCAT(EMPTbl[[#This Row],[Empname]],"~",TEXT(EMPTbl[[#This Row],[Empid]],"00000"))</f>
        <v>Mohammed Furqan Imam Ali Atiqun Nisa~01757</v>
      </c>
    </row>
    <row r="44" spans="5:19" x14ac:dyDescent="0.25">
      <c r="E44">
        <v>1086</v>
      </c>
      <c r="F44" t="s">
        <v>44</v>
      </c>
      <c r="G44" t="str">
        <f>_xlfn.CONCAT(TaskMasterTBL[[#This Row],[TaskName]],"~",TEXT(TaskMasterTBL[[#This Row],[ID]],"0000"))</f>
        <v>Revision work - Others~1086</v>
      </c>
      <c r="Q44">
        <v>2342</v>
      </c>
      <c r="R44" s="1" t="s">
        <v>125</v>
      </c>
      <c r="S44" t="str">
        <f>_xlfn.CONCAT(EMPTbl[[#This Row],[Empname]],"~",TEXT(EMPTbl[[#This Row],[Empid]],"00000"))</f>
        <v>Muthu Kumar R~02342</v>
      </c>
    </row>
    <row r="45" spans="5:19" x14ac:dyDescent="0.25">
      <c r="E45">
        <v>1087</v>
      </c>
      <c r="F45" t="s">
        <v>43</v>
      </c>
      <c r="G45" t="str">
        <f>_xlfn.CONCAT(TaskMasterTBL[[#This Row],[TaskName]],"~",TEXT(TaskMasterTBL[[#This Row],[ID]],"0000"))</f>
        <v>Revision work - Self~1087</v>
      </c>
      <c r="Q45">
        <v>2309</v>
      </c>
      <c r="R45" s="1" t="s">
        <v>126</v>
      </c>
      <c r="S45" t="str">
        <f>_xlfn.CONCAT(EMPTbl[[#This Row],[Empname]],"~",TEXT(EMPTbl[[#This Row],[Empid]],"00000"))</f>
        <v>Muthu Sujay Kumar G~02309</v>
      </c>
    </row>
    <row r="46" spans="5:19" x14ac:dyDescent="0.25">
      <c r="E46">
        <v>1088</v>
      </c>
      <c r="F46" t="s">
        <v>43</v>
      </c>
      <c r="G46" t="str">
        <f>_xlfn.CONCAT(TaskMasterTBL[[#This Row],[TaskName]],"~",TEXT(TaskMasterTBL[[#This Row],[ID]],"0000"))</f>
        <v>Revision work - Self~1088</v>
      </c>
      <c r="Q46">
        <v>2331</v>
      </c>
      <c r="R46" s="1" t="s">
        <v>127</v>
      </c>
      <c r="S46" t="str">
        <f>_xlfn.CONCAT(EMPTbl[[#This Row],[Empname]],"~",TEXT(EMPTbl[[#This Row],[Empid]],"00000"))</f>
        <v>Muthuraj M~02331</v>
      </c>
    </row>
    <row r="47" spans="5:19" x14ac:dyDescent="0.25">
      <c r="E47">
        <v>1089</v>
      </c>
      <c r="F47" t="s">
        <v>43</v>
      </c>
      <c r="G47" t="str">
        <f>_xlfn.CONCAT(TaskMasterTBL[[#This Row],[TaskName]],"~",TEXT(TaskMasterTBL[[#This Row],[ID]],"0000"))</f>
        <v>Revision work - Self~1089</v>
      </c>
      <c r="Q47">
        <v>1065</v>
      </c>
      <c r="R47" s="1" t="s">
        <v>128</v>
      </c>
      <c r="S47" t="str">
        <f>_xlfn.CONCAT(EMPTbl[[#This Row],[Empname]],"~",TEXT(EMPTbl[[#This Row],[Empid]],"00000"))</f>
        <v>N.Vinothkumar~01065</v>
      </c>
    </row>
    <row r="48" spans="5:19" x14ac:dyDescent="0.25">
      <c r="E48">
        <v>1090</v>
      </c>
      <c r="F48" t="s">
        <v>45</v>
      </c>
      <c r="G48" t="str">
        <f>_xlfn.CONCAT(TaskMasterTBL[[#This Row],[TaskName]],"~",TEXT(TaskMasterTBL[[#This Row],[ID]],"0000"))</f>
        <v>FPT Workout~1090</v>
      </c>
      <c r="Q48">
        <v>2081</v>
      </c>
      <c r="R48" s="1" t="s">
        <v>129</v>
      </c>
      <c r="S48" t="str">
        <f>_xlfn.CONCAT(EMPTbl[[#This Row],[Empname]],"~",TEXT(EMPTbl[[#This Row],[Empid]],"00000"))</f>
        <v>Nitheshkumar B~02081</v>
      </c>
    </row>
    <row r="49" spans="5:19" x14ac:dyDescent="0.25">
      <c r="E49">
        <v>11</v>
      </c>
      <c r="F49" t="s">
        <v>30</v>
      </c>
      <c r="G49" t="str">
        <f>_xlfn.CONCAT(TaskMasterTBL[[#This Row],[TaskName]],"~",TEXT(TaskMasterTBL[[#This Row],[ID]],"0000"))</f>
        <v>Revision Design~0011</v>
      </c>
      <c r="Q49">
        <v>2157</v>
      </c>
      <c r="R49" s="1" t="s">
        <v>130</v>
      </c>
      <c r="S49" t="str">
        <f>_xlfn.CONCAT(EMPTbl[[#This Row],[Empname]],"~",TEXT(EMPTbl[[#This Row],[Empid]],"00000"))</f>
        <v>Nithishkumar.D~02157</v>
      </c>
    </row>
    <row r="50" spans="5:19" x14ac:dyDescent="0.25">
      <c r="E50">
        <v>12</v>
      </c>
      <c r="F50" t="s">
        <v>31</v>
      </c>
      <c r="G50" t="str">
        <f>_xlfn.CONCAT(TaskMasterTBL[[#This Row],[TaskName]],"~",TEXT(TaskMasterTBL[[#This Row],[ID]],"0000"))</f>
        <v>Revision Checking~0012</v>
      </c>
      <c r="Q50">
        <v>2457</v>
      </c>
      <c r="R50" s="1" t="s">
        <v>131</v>
      </c>
      <c r="S50" t="str">
        <f>_xlfn.CONCAT(EMPTbl[[#This Row],[Empname]],"~",TEXT(EMPTbl[[#This Row],[Empid]],"00000"))</f>
        <v>P. Amirtha Varshini~02457</v>
      </c>
    </row>
    <row r="51" spans="5:19" x14ac:dyDescent="0.25">
      <c r="E51">
        <v>13</v>
      </c>
      <c r="F51" t="s">
        <v>32</v>
      </c>
      <c r="G51" t="str">
        <f>_xlfn.CONCAT(TaskMasterTBL[[#This Row],[TaskName]],"~",TEXT(TaskMasterTBL[[#This Row],[ID]],"0000"))</f>
        <v>Revision Release~0013</v>
      </c>
      <c r="Q51">
        <v>2066</v>
      </c>
      <c r="R51" s="1" t="s">
        <v>132</v>
      </c>
      <c r="S51" t="str">
        <f>_xlfn.CONCAT(EMPTbl[[#This Row],[Empname]],"~",TEXT(EMPTbl[[#This Row],[Empid]],"00000"))</f>
        <v>P.Lokesh~02066</v>
      </c>
    </row>
    <row r="52" spans="5:19" x14ac:dyDescent="0.25">
      <c r="E52">
        <v>14</v>
      </c>
      <c r="F52" t="s">
        <v>33</v>
      </c>
      <c r="G52" t="str">
        <f>_xlfn.CONCAT(TaskMasterTBL[[#This Row],[TaskName]],"~",TEXT(TaskMasterTBL[[#This Row],[ID]],"0000"))</f>
        <v>Mod. Enquiry Study~0014</v>
      </c>
      <c r="Q52">
        <v>145</v>
      </c>
      <c r="R52" s="1" t="s">
        <v>133</v>
      </c>
      <c r="S52" t="str">
        <f>_xlfn.CONCAT(EMPTbl[[#This Row],[Empname]],"~",TEXT(EMPTbl[[#This Row],[Empid]],"00000"))</f>
        <v>P.Thiyakarajan~00145</v>
      </c>
    </row>
    <row r="53" spans="5:19" x14ac:dyDescent="0.25">
      <c r="E53">
        <v>15</v>
      </c>
      <c r="F53" t="s">
        <v>34</v>
      </c>
      <c r="G53" t="str">
        <f>_xlfn.CONCAT(TaskMasterTBL[[#This Row],[TaskName]],"~",TEXT(TaskMasterTBL[[#This Row],[ID]],"0000"))</f>
        <v>Mod. Enquiry Checking~0015</v>
      </c>
      <c r="Q53">
        <v>2041</v>
      </c>
      <c r="R53" s="1" t="s">
        <v>134</v>
      </c>
      <c r="S53" t="str">
        <f>_xlfn.CONCAT(EMPTbl[[#This Row],[Empname]],"~",TEXT(EMPTbl[[#This Row],[Empid]],"00000"))</f>
        <v>Ponraj.B~02041</v>
      </c>
    </row>
    <row r="54" spans="5:19" x14ac:dyDescent="0.25">
      <c r="E54">
        <v>16</v>
      </c>
      <c r="F54" t="s">
        <v>35</v>
      </c>
      <c r="G54" t="str">
        <f>_xlfn.CONCAT(TaskMasterTBL[[#This Row],[TaskName]],"~",TEXT(TaskMasterTBL[[#This Row],[ID]],"0000"))</f>
        <v>Mod. Enquiry Release~0016</v>
      </c>
      <c r="Q54" s="1" t="s">
        <v>135</v>
      </c>
      <c r="R54" s="1" t="s">
        <v>136</v>
      </c>
      <c r="S54" t="str">
        <f>_xlfn.CONCAT(EMPTbl[[#This Row],[Empname]],"~",TEXT(EMPTbl[[#This Row],[Empid]],"00000"))</f>
        <v>Praveenkumar R~FC0013</v>
      </c>
    </row>
    <row r="55" spans="5:19" x14ac:dyDescent="0.25">
      <c r="E55">
        <v>17</v>
      </c>
      <c r="F55" t="s">
        <v>36</v>
      </c>
      <c r="G55" t="str">
        <f>_xlfn.CONCAT(TaskMasterTBL[[#This Row],[TaskName]],"~",TEXT(TaskMasterTBL[[#This Row],[ID]],"0000"))</f>
        <v>Mod. Order Design~0017</v>
      </c>
      <c r="Q55" s="1" t="s">
        <v>137</v>
      </c>
      <c r="R55" s="1" t="s">
        <v>138</v>
      </c>
      <c r="S55" t="str">
        <f>_xlfn.CONCAT(EMPTbl[[#This Row],[Empname]],"~",TEXT(EMPTbl[[#This Row],[Empid]],"00000"))</f>
        <v>Priya~FC0011</v>
      </c>
    </row>
    <row r="56" spans="5:19" x14ac:dyDescent="0.25">
      <c r="E56">
        <v>18</v>
      </c>
      <c r="F56" t="s">
        <v>37</v>
      </c>
      <c r="G56" t="str">
        <f>_xlfn.CONCAT(TaskMasterTBL[[#This Row],[TaskName]],"~",TEXT(TaskMasterTBL[[#This Row],[ID]],"0000"))</f>
        <v>Mod. Order Checking~0018</v>
      </c>
      <c r="Q56">
        <v>337</v>
      </c>
      <c r="R56" s="1" t="s">
        <v>139</v>
      </c>
      <c r="S56" t="str">
        <f>_xlfn.CONCAT(EMPTbl[[#This Row],[Empname]],"~",TEXT(EMPTbl[[#This Row],[Empid]],"00000"))</f>
        <v>R.Bharath Kumar~00337</v>
      </c>
    </row>
    <row r="57" spans="5:19" x14ac:dyDescent="0.25">
      <c r="E57">
        <v>19</v>
      </c>
      <c r="F57" t="s">
        <v>38</v>
      </c>
      <c r="G57" t="str">
        <f>_xlfn.CONCAT(TaskMasterTBL[[#This Row],[TaskName]],"~",TEXT(TaskMasterTBL[[#This Row],[ID]],"0000"))</f>
        <v>Mod. Order Release~0019</v>
      </c>
      <c r="Q57">
        <v>2242</v>
      </c>
      <c r="R57" s="1" t="s">
        <v>140</v>
      </c>
      <c r="S57" t="str">
        <f>_xlfn.CONCAT(EMPTbl[[#This Row],[Empname]],"~",TEXT(EMPTbl[[#This Row],[Empid]],"00000"))</f>
        <v>Ramkumar M~02242</v>
      </c>
    </row>
    <row r="58" spans="5:19" x14ac:dyDescent="0.25">
      <c r="E58">
        <v>20</v>
      </c>
      <c r="F58" t="s">
        <v>39</v>
      </c>
      <c r="G58" t="str">
        <f>_xlfn.CONCAT(TaskMasterTBL[[#This Row],[TaskName]],"~",TEXT(TaskMasterTBL[[#This Row],[ID]],"0000"))</f>
        <v>Training~0020</v>
      </c>
      <c r="Q58">
        <v>2082</v>
      </c>
      <c r="R58" s="1" t="s">
        <v>141</v>
      </c>
      <c r="S58" t="str">
        <f>_xlfn.CONCAT(EMPTbl[[#This Row],[Empname]],"~",TEXT(EMPTbl[[#This Row],[Empid]],"00000"))</f>
        <v>Ranjith kumar.K~02082</v>
      </c>
    </row>
    <row r="59" spans="5:19" x14ac:dyDescent="0.25">
      <c r="E59">
        <v>21</v>
      </c>
      <c r="F59" t="s">
        <v>40</v>
      </c>
      <c r="G59" t="str">
        <f>_xlfn.CONCAT(TaskMasterTBL[[#This Row],[TaskName]],"~",TEXT(TaskMasterTBL[[#This Row],[ID]],"0000"))</f>
        <v>Meeting~0021</v>
      </c>
      <c r="Q59">
        <v>2198</v>
      </c>
      <c r="R59" s="1" t="s">
        <v>142</v>
      </c>
      <c r="S59" t="str">
        <f>_xlfn.CONCAT(EMPTbl[[#This Row],[Empname]],"~",TEXT(EMPTbl[[#This Row],[Empid]],"00000"))</f>
        <v>Royce Lee John~02198</v>
      </c>
    </row>
    <row r="60" spans="5:19" x14ac:dyDescent="0.25">
      <c r="E60">
        <v>22</v>
      </c>
      <c r="F60" t="s">
        <v>41</v>
      </c>
      <c r="G60" t="str">
        <f>_xlfn.CONCAT(TaskMasterTBL[[#This Row],[TaskName]],"~",TEXT(TaskMasterTBL[[#This Row],[ID]],"0000"))</f>
        <v>ET Action~0022</v>
      </c>
      <c r="Q60">
        <v>1700</v>
      </c>
      <c r="R60" s="1" t="s">
        <v>143</v>
      </c>
      <c r="S60" t="str">
        <f>_xlfn.CONCAT(EMPTbl[[#This Row],[Empname]],"~",TEXT(EMPTbl[[#This Row],[Empid]],"00000"))</f>
        <v>S.Bhuvaneshwari~01700</v>
      </c>
    </row>
    <row r="61" spans="5:19" x14ac:dyDescent="0.25">
      <c r="E61">
        <v>23</v>
      </c>
      <c r="F61" t="s">
        <v>17</v>
      </c>
      <c r="G61" t="str">
        <f>_xlfn.CONCAT(TaskMasterTBL[[#This Row],[TaskName]],"~",TEXT(TaskMasterTBL[[#This Row],[ID]],"0000"))</f>
        <v>Others~0023</v>
      </c>
      <c r="Q61">
        <v>1647</v>
      </c>
      <c r="R61" s="1" t="s">
        <v>144</v>
      </c>
      <c r="S61" t="str">
        <f>_xlfn.CONCAT(EMPTbl[[#This Row],[Empname]],"~",TEXT(EMPTbl[[#This Row],[Empid]],"00000"))</f>
        <v>S.Devendran~01647</v>
      </c>
    </row>
    <row r="62" spans="5:19" x14ac:dyDescent="0.25">
      <c r="E62">
        <v>1051</v>
      </c>
      <c r="F62" t="s">
        <v>46</v>
      </c>
      <c r="G62" t="str">
        <f>_xlfn.CONCAT(TaskMasterTBL[[#This Row],[TaskName]],"~",TEXT(TaskMasterTBL[[#This Row],[ID]],"0000"))</f>
        <v>Software Checking~1051</v>
      </c>
      <c r="Q62">
        <v>1789</v>
      </c>
      <c r="R62" s="1" t="s">
        <v>145</v>
      </c>
      <c r="S62" t="str">
        <f>_xlfn.CONCAT(EMPTbl[[#This Row],[Empname]],"~",TEXT(EMPTbl[[#This Row],[Empid]],"00000"))</f>
        <v>S.Komaladevi~01789</v>
      </c>
    </row>
    <row r="63" spans="5:19" x14ac:dyDescent="0.25">
      <c r="E63">
        <v>1052</v>
      </c>
      <c r="F63" t="s">
        <v>47</v>
      </c>
      <c r="G63" t="str">
        <f>_xlfn.CONCAT(TaskMasterTBL[[#This Row],[TaskName]],"~",TEXT(TaskMasterTBL[[#This Row],[ID]],"0000"))</f>
        <v>Software Release~1052</v>
      </c>
      <c r="Q63">
        <v>578</v>
      </c>
      <c r="R63" s="1" t="s">
        <v>146</v>
      </c>
      <c r="S63" t="str">
        <f>_xlfn.CONCAT(EMPTbl[[#This Row],[Empname]],"~",TEXT(EMPTbl[[#This Row],[Empid]],"00000"))</f>
        <v>S.Manokar~00578</v>
      </c>
    </row>
    <row r="64" spans="5:19" x14ac:dyDescent="0.25">
      <c r="E64">
        <v>1053</v>
      </c>
      <c r="F64" t="s">
        <v>48</v>
      </c>
      <c r="G64" t="str">
        <f>_xlfn.CONCAT(TaskMasterTBL[[#This Row],[TaskName]],"~",TEXT(TaskMasterTBL[[#This Row],[ID]],"0000"))</f>
        <v>Standardization Checking~1053</v>
      </c>
      <c r="Q64">
        <v>148</v>
      </c>
      <c r="R64" s="1" t="s">
        <v>147</v>
      </c>
      <c r="S64" t="str">
        <f>_xlfn.CONCAT(EMPTbl[[#This Row],[Empname]],"~",TEXT(EMPTbl[[#This Row],[Empid]],"00000"))</f>
        <v>S.Santhosh~00148</v>
      </c>
    </row>
    <row r="65" spans="5:19" x14ac:dyDescent="0.25">
      <c r="E65">
        <v>1054</v>
      </c>
      <c r="F65" t="s">
        <v>48</v>
      </c>
      <c r="G65" t="str">
        <f>_xlfn.CONCAT(TaskMasterTBL[[#This Row],[TaskName]],"~",TEXT(TaskMasterTBL[[#This Row],[ID]],"0000"))</f>
        <v>Standardization Checking~1054</v>
      </c>
      <c r="Q65">
        <v>2123</v>
      </c>
      <c r="R65" s="1" t="s">
        <v>148</v>
      </c>
      <c r="S65" t="str">
        <f>_xlfn.CONCAT(EMPTbl[[#This Row],[Empname]],"~",TEXT(EMPTbl[[#This Row],[Empid]],"00000"))</f>
        <v>Sandeepraj A~02123</v>
      </c>
    </row>
    <row r="66" spans="5:19" x14ac:dyDescent="0.25">
      <c r="E66">
        <v>1055</v>
      </c>
      <c r="F66" t="s">
        <v>48</v>
      </c>
      <c r="G66" t="str">
        <f>_xlfn.CONCAT(TaskMasterTBL[[#This Row],[TaskName]],"~",TEXT(TaskMasterTBL[[#This Row],[ID]],"0000"))</f>
        <v>Standardization Checking~1055</v>
      </c>
      <c r="Q66">
        <v>2231</v>
      </c>
      <c r="R66" s="1" t="s">
        <v>149</v>
      </c>
      <c r="S66" t="str">
        <f>_xlfn.CONCAT(EMPTbl[[#This Row],[Empname]],"~",TEXT(EMPTbl[[#This Row],[Empid]],"00000"))</f>
        <v>Sarath Kumar.V.S~02231</v>
      </c>
    </row>
    <row r="67" spans="5:19" x14ac:dyDescent="0.25">
      <c r="E67">
        <v>1073</v>
      </c>
      <c r="F67" t="s">
        <v>49</v>
      </c>
      <c r="G67" t="str">
        <f>_xlfn.CONCAT(TaskMasterTBL[[#This Row],[TaskName]],"~",TEXT(TaskMasterTBL[[#This Row],[ID]],"0000"))</f>
        <v>PI &amp; DBOM CREATION~1073</v>
      </c>
      <c r="Q67">
        <v>2401</v>
      </c>
      <c r="R67" s="1" t="s">
        <v>150</v>
      </c>
      <c r="S67" t="str">
        <f>_xlfn.CONCAT(EMPTbl[[#This Row],[Empname]],"~",TEXT(EMPTbl[[#This Row],[Empid]],"00000"))</f>
        <v>Sharmila Sithaiyan~02401</v>
      </c>
    </row>
    <row r="68" spans="5:19" x14ac:dyDescent="0.25">
      <c r="E68">
        <v>1074</v>
      </c>
      <c r="F68" t="s">
        <v>50</v>
      </c>
      <c r="G68" t="str">
        <f>_xlfn.CONCAT(TaskMasterTBL[[#This Row],[TaskName]],"~",TEXT(TaskMasterTBL[[#This Row],[ID]],"0000"))</f>
        <v>PI &amp; DBOM REVISION~1074</v>
      </c>
      <c r="Q68">
        <v>2202</v>
      </c>
      <c r="R68" s="1" t="s">
        <v>151</v>
      </c>
      <c r="S68" t="str">
        <f>_xlfn.CONCAT(EMPTbl[[#This Row],[Empname]],"~",TEXT(EMPTbl[[#This Row],[Empid]],"00000"))</f>
        <v>Sivakumar S~02202</v>
      </c>
    </row>
    <row r="69" spans="5:19" x14ac:dyDescent="0.25">
      <c r="E69">
        <v>1075</v>
      </c>
      <c r="F69" t="s">
        <v>51</v>
      </c>
      <c r="G69" t="str">
        <f>_xlfn.CONCAT(TaskMasterTBL[[#This Row],[TaskName]],"~",TEXT(TaskMasterTBL[[#This Row],[ID]],"0000"))</f>
        <v>DBOM CHECK ~1075</v>
      </c>
      <c r="Q69">
        <v>2189</v>
      </c>
      <c r="R69" s="1" t="s">
        <v>152</v>
      </c>
      <c r="S69" t="str">
        <f>_xlfn.CONCAT(EMPTbl[[#This Row],[Empname]],"~",TEXT(EMPTbl[[#This Row],[Empid]],"00000"))</f>
        <v>Sooraj Joseph.K.J~02189</v>
      </c>
    </row>
    <row r="70" spans="5:19" x14ac:dyDescent="0.25">
      <c r="E70">
        <v>1076</v>
      </c>
      <c r="F70" t="s">
        <v>52</v>
      </c>
      <c r="G70" t="str">
        <f>_xlfn.CONCAT(TaskMasterTBL[[#This Row],[TaskName]],"~",TEXT(TaskMasterTBL[[#This Row],[ID]],"0000"))</f>
        <v>QPI UPDATE~1076</v>
      </c>
      <c r="Q70">
        <v>2353</v>
      </c>
      <c r="R70" s="1" t="s">
        <v>153</v>
      </c>
      <c r="S70" t="str">
        <f>_xlfn.CONCAT(EMPTbl[[#This Row],[Empname]],"~",TEXT(EMPTbl[[#This Row],[Empid]],"00000"))</f>
        <v>Subash M~02353</v>
      </c>
    </row>
    <row r="71" spans="5:19" x14ac:dyDescent="0.25">
      <c r="E71">
        <v>1077</v>
      </c>
      <c r="F71" t="s">
        <v>53</v>
      </c>
      <c r="G71" t="str">
        <f>_xlfn.CONCAT(TaskMasterTBL[[#This Row],[TaskName]],"~",TEXT(TaskMasterTBL[[#This Row],[ID]],"0000"))</f>
        <v>SERVER UPDATE~1077</v>
      </c>
      <c r="Q71">
        <v>2141</v>
      </c>
      <c r="R71" s="1" t="s">
        <v>154</v>
      </c>
      <c r="S71" t="str">
        <f>_xlfn.CONCAT(EMPTbl[[#This Row],[Empname]],"~",TEXT(EMPTbl[[#This Row],[Empid]],"00000"))</f>
        <v>Sugandan.K~02141</v>
      </c>
    </row>
    <row r="72" spans="5:19" x14ac:dyDescent="0.25">
      <c r="E72">
        <v>1078</v>
      </c>
      <c r="F72" t="s">
        <v>54</v>
      </c>
      <c r="G72" t="str">
        <f>_xlfn.CONCAT(TaskMasterTBL[[#This Row],[TaskName]],"~",TEXT(TaskMasterTBL[[#This Row],[ID]],"0000"))</f>
        <v>LEAVE~1078</v>
      </c>
      <c r="Q72">
        <v>2399</v>
      </c>
      <c r="R72" s="1" t="s">
        <v>155</v>
      </c>
      <c r="S72" t="str">
        <f>_xlfn.CONCAT(EMPTbl[[#This Row],[Empname]],"~",TEXT(EMPTbl[[#This Row],[Empid]],"00000"))</f>
        <v>Sujithroshan Murugesan~02399</v>
      </c>
    </row>
    <row r="73" spans="5:19" x14ac:dyDescent="0.25">
      <c r="E73">
        <v>1079</v>
      </c>
      <c r="F73" t="s">
        <v>54</v>
      </c>
      <c r="G73" t="str">
        <f>_xlfn.CONCAT(TaskMasterTBL[[#This Row],[TaskName]],"~",TEXT(TaskMasterTBL[[#This Row],[ID]],"0000"))</f>
        <v>LEAVE~1079</v>
      </c>
      <c r="Q73">
        <v>2188</v>
      </c>
      <c r="R73" s="1" t="s">
        <v>156</v>
      </c>
      <c r="S73" t="str">
        <f>_xlfn.CONCAT(EMPTbl[[#This Row],[Empname]],"~",TEXT(EMPTbl[[#This Row],[Empid]],"00000"))</f>
        <v>Thomaskutty Sabu~02188</v>
      </c>
    </row>
    <row r="74" spans="5:19" x14ac:dyDescent="0.25">
      <c r="E74">
        <v>1080</v>
      </c>
      <c r="F74" t="s">
        <v>54</v>
      </c>
      <c r="G74" t="str">
        <f>_xlfn.CONCAT(TaskMasterTBL[[#This Row],[TaskName]],"~",TEXT(TaskMasterTBL[[#This Row],[ID]],"0000"))</f>
        <v>LEAVE~1080</v>
      </c>
      <c r="Q74" s="1" t="s">
        <v>157</v>
      </c>
      <c r="R74" s="1" t="s">
        <v>158</v>
      </c>
      <c r="S74" t="str">
        <f>_xlfn.CONCAT(EMPTbl[[#This Row],[Empname]],"~",TEXT(EMPTbl[[#This Row],[Empid]],"00000"))</f>
        <v>Udayakumar K~FC0003</v>
      </c>
    </row>
    <row r="75" spans="5:19" x14ac:dyDescent="0.25">
      <c r="E75">
        <v>1081</v>
      </c>
      <c r="F75" t="s">
        <v>54</v>
      </c>
      <c r="G75" t="str">
        <f>_xlfn.CONCAT(TaskMasterTBL[[#This Row],[TaskName]],"~",TEXT(TaskMasterTBL[[#This Row],[ID]],"0000"))</f>
        <v>LEAVE~1081</v>
      </c>
      <c r="Q75" s="1" t="s">
        <v>159</v>
      </c>
      <c r="R75" s="1" t="s">
        <v>160</v>
      </c>
      <c r="S75" t="str">
        <f>_xlfn.CONCAT(EMPTbl[[#This Row],[Empname]],"~",TEXT(EMPTbl[[#This Row],[Empid]],"00000"))</f>
        <v>Udayakumar S~FC0001</v>
      </c>
    </row>
    <row r="76" spans="5:19" x14ac:dyDescent="0.25">
      <c r="E76">
        <v>1056</v>
      </c>
      <c r="F76" t="s">
        <v>55</v>
      </c>
      <c r="G76" t="str">
        <f>_xlfn.CONCAT(TaskMasterTBL[[#This Row],[TaskName]],"~",TEXT(TaskMasterTBL[[#This Row],[ID]],"0000"))</f>
        <v>Standardization Release~1056</v>
      </c>
      <c r="Q76">
        <v>1220</v>
      </c>
      <c r="R76" s="1" t="s">
        <v>161</v>
      </c>
      <c r="S76" t="str">
        <f>_xlfn.CONCAT(EMPTbl[[#This Row],[Empname]],"~",TEXT(EMPTbl[[#This Row],[Empid]],"00000"))</f>
        <v>V.Raja~01220</v>
      </c>
    </row>
    <row r="77" spans="5:19" x14ac:dyDescent="0.25">
      <c r="E77">
        <v>1057</v>
      </c>
      <c r="F77" t="s">
        <v>55</v>
      </c>
      <c r="G77" t="str">
        <f>_xlfn.CONCAT(TaskMasterTBL[[#This Row],[TaskName]],"~",TEXT(TaskMasterTBL[[#This Row],[ID]],"0000"))</f>
        <v>Standardization Release~1057</v>
      </c>
      <c r="Q77">
        <v>1494</v>
      </c>
      <c r="R77" s="1" t="s">
        <v>162</v>
      </c>
      <c r="S77" t="str">
        <f>_xlfn.CONCAT(EMPTbl[[#This Row],[Empname]],"~",TEXT(EMPTbl[[#This Row],[Empid]],"00000"))</f>
        <v>V.Shanthosh~01494</v>
      </c>
    </row>
    <row r="78" spans="5:19" x14ac:dyDescent="0.25">
      <c r="E78">
        <v>1058</v>
      </c>
      <c r="F78" t="s">
        <v>55</v>
      </c>
      <c r="G78" t="str">
        <f>_xlfn.CONCAT(TaskMasterTBL[[#This Row],[TaskName]],"~",TEXT(TaskMasterTBL[[#This Row],[ID]],"0000"))</f>
        <v>Standardization Release~1058</v>
      </c>
      <c r="Q78">
        <v>160</v>
      </c>
      <c r="R78" s="1" t="s">
        <v>163</v>
      </c>
      <c r="S78" t="str">
        <f>_xlfn.CONCAT(EMPTbl[[#This Row],[Empname]],"~",TEXT(EMPTbl[[#This Row],[Empid]],"00000"))</f>
        <v>V.Vijayaraj~00160</v>
      </c>
    </row>
    <row r="79" spans="5:19" x14ac:dyDescent="0.25">
      <c r="E79">
        <v>1059</v>
      </c>
      <c r="F79" t="s">
        <v>30</v>
      </c>
      <c r="G79" t="str">
        <f>_xlfn.CONCAT(TaskMasterTBL[[#This Row],[TaskName]],"~",TEXT(TaskMasterTBL[[#This Row],[ID]],"0000"))</f>
        <v>Revision Design~1059</v>
      </c>
      <c r="Q79" s="1" t="s">
        <v>164</v>
      </c>
      <c r="R79" s="1" t="s">
        <v>165</v>
      </c>
      <c r="S79" t="str">
        <f>_xlfn.CONCAT(EMPTbl[[#This Row],[Empname]],"~",TEXT(EMPTbl[[#This Row],[Empid]],"00000"))</f>
        <v>Vasanth S~FC0010</v>
      </c>
    </row>
    <row r="80" spans="5:19" x14ac:dyDescent="0.25">
      <c r="E80">
        <v>1060</v>
      </c>
      <c r="F80" t="s">
        <v>31</v>
      </c>
      <c r="G80" t="str">
        <f>_xlfn.CONCAT(TaskMasterTBL[[#This Row],[TaskName]],"~",TEXT(TaskMasterTBL[[#This Row],[ID]],"0000"))</f>
        <v>Revision Checking~1060</v>
      </c>
      <c r="Q80">
        <v>2230</v>
      </c>
      <c r="R80" s="1" t="s">
        <v>166</v>
      </c>
      <c r="S80" t="str">
        <f>_xlfn.CONCAT(EMPTbl[[#This Row],[Empname]],"~",TEXT(EMPTbl[[#This Row],[Empid]],"00000"))</f>
        <v>Velpratheepanan K~02230</v>
      </c>
    </row>
    <row r="81" spans="5:19" x14ac:dyDescent="0.25">
      <c r="E81">
        <v>1061</v>
      </c>
      <c r="F81" t="s">
        <v>32</v>
      </c>
      <c r="G81" t="str">
        <f>_xlfn.CONCAT(TaskMasterTBL[[#This Row],[TaskName]],"~",TEXT(TaskMasterTBL[[#This Row],[ID]],"0000"))</f>
        <v>Revision Release~1061</v>
      </c>
      <c r="Q81" s="1" t="s">
        <v>167</v>
      </c>
      <c r="R81" s="1" t="s">
        <v>168</v>
      </c>
      <c r="S81" t="str">
        <f>_xlfn.CONCAT(EMPTbl[[#This Row],[Empname]],"~",TEXT(EMPTbl[[#This Row],[Empid]],"00000"))</f>
        <v>Vignesh M~FC0016</v>
      </c>
    </row>
    <row r="82" spans="5:19" x14ac:dyDescent="0.25">
      <c r="E82">
        <v>1062</v>
      </c>
      <c r="F82" t="s">
        <v>33</v>
      </c>
      <c r="G82" t="str">
        <f>_xlfn.CONCAT(TaskMasterTBL[[#This Row],[TaskName]],"~",TEXT(TaskMasterTBL[[#This Row],[ID]],"0000"))</f>
        <v>Mod. Enquiry Study~1062</v>
      </c>
      <c r="Q82" s="1" t="s">
        <v>169</v>
      </c>
      <c r="R82" s="1" t="s">
        <v>170</v>
      </c>
      <c r="S82" t="str">
        <f>_xlfn.CONCAT(EMPTbl[[#This Row],[Empname]],"~",TEXT(EMPTbl[[#This Row],[Empid]],"00000"))</f>
        <v>Vijay Dinesh~FC0009</v>
      </c>
    </row>
    <row r="83" spans="5:19" x14ac:dyDescent="0.25">
      <c r="E83">
        <v>1063</v>
      </c>
      <c r="F83" t="s">
        <v>34</v>
      </c>
      <c r="G83" t="str">
        <f>_xlfn.CONCAT(TaskMasterTBL[[#This Row],[TaskName]],"~",TEXT(TaskMasterTBL[[#This Row],[ID]],"0000"))</f>
        <v>Mod. Enquiry Checking~1063</v>
      </c>
      <c r="Q83">
        <v>2191</v>
      </c>
      <c r="R83" s="1" t="s">
        <v>171</v>
      </c>
      <c r="S83" t="str">
        <f>_xlfn.CONCAT(EMPTbl[[#This Row],[Empname]],"~",TEXT(EMPTbl[[#This Row],[Empid]],"00000"))</f>
        <v>Vishnudas.K.M~02191</v>
      </c>
    </row>
    <row r="84" spans="5:19" x14ac:dyDescent="0.25">
      <c r="E84">
        <v>1064</v>
      </c>
      <c r="F84" t="s">
        <v>35</v>
      </c>
      <c r="G84" t="str">
        <f>_xlfn.CONCAT(TaskMasterTBL[[#This Row],[TaskName]],"~",TEXT(TaskMasterTBL[[#This Row],[ID]],"0000"))</f>
        <v>Mod. Enquiry Release~1064</v>
      </c>
      <c r="Q84" s="1" t="s">
        <v>172</v>
      </c>
      <c r="R84" s="1" t="s">
        <v>173</v>
      </c>
      <c r="S84" t="str">
        <f>_xlfn.CONCAT(EMPTbl[[#This Row],[Empname]],"~",TEXT(EMPTbl[[#This Row],[Empid]],"00000"))</f>
        <v>Yogesh P~FC0015</v>
      </c>
    </row>
    <row r="85" spans="5:19" x14ac:dyDescent="0.25">
      <c r="E85">
        <v>1065</v>
      </c>
      <c r="F85" t="s">
        <v>36</v>
      </c>
      <c r="G85" t="str">
        <f>_xlfn.CONCAT(TaskMasterTBL[[#This Row],[TaskName]],"~",TEXT(TaskMasterTBL[[#This Row],[ID]],"0000"))</f>
        <v>Mod. Order Design~1065</v>
      </c>
      <c r="Q85">
        <v>1665</v>
      </c>
      <c r="R85" s="1" t="s">
        <v>174</v>
      </c>
      <c r="S85" t="str">
        <f>_xlfn.CONCAT(EMPTbl[[#This Row],[Empname]],"~",TEXT(EMPTbl[[#This Row],[Empid]],"00000"))</f>
        <v>Yoshinobu Kito~01665</v>
      </c>
    </row>
    <row r="86" spans="5:19" x14ac:dyDescent="0.25">
      <c r="E86">
        <v>1066</v>
      </c>
      <c r="F86" t="s">
        <v>37</v>
      </c>
      <c r="G86" t="str">
        <f>_xlfn.CONCAT(TaskMasterTBL[[#This Row],[TaskName]],"~",TEXT(TaskMasterTBL[[#This Row],[ID]],"0000"))</f>
        <v>Mod. Order Checking~1066</v>
      </c>
      <c r="Q86">
        <v>2058</v>
      </c>
      <c r="R86" s="1" t="s">
        <v>175</v>
      </c>
      <c r="S86" t="str">
        <f>_xlfn.CONCAT(EMPTbl[[#This Row],[Empname]],"~",TEXT(EMPTbl[[#This Row],[Empid]],"00000"))</f>
        <v>Yuichiro Hodatsu~02058</v>
      </c>
    </row>
    <row r="87" spans="5:19" x14ac:dyDescent="0.25">
      <c r="E87">
        <v>1067</v>
      </c>
      <c r="F87" t="s">
        <v>38</v>
      </c>
      <c r="G87" t="str">
        <f>_xlfn.CONCAT(TaskMasterTBL[[#This Row],[TaskName]],"~",TEXT(TaskMasterTBL[[#This Row],[ID]],"0000"))</f>
        <v>Mod. Order Release~1067</v>
      </c>
    </row>
    <row r="88" spans="5:19" x14ac:dyDescent="0.25">
      <c r="E88">
        <v>1068</v>
      </c>
      <c r="F88" t="s">
        <v>39</v>
      </c>
      <c r="G88" t="str">
        <f>_xlfn.CONCAT(TaskMasterTBL[[#This Row],[TaskName]],"~",TEXT(TaskMasterTBL[[#This Row],[ID]],"0000"))</f>
        <v>Training~1068</v>
      </c>
    </row>
    <row r="89" spans="5:19" x14ac:dyDescent="0.25">
      <c r="E89">
        <v>1069</v>
      </c>
      <c r="F89" t="s">
        <v>40</v>
      </c>
      <c r="G89" t="str">
        <f>_xlfn.CONCAT(TaskMasterTBL[[#This Row],[TaskName]],"~",TEXT(TaskMasterTBL[[#This Row],[ID]],"0000"))</f>
        <v>Meeting~1069</v>
      </c>
    </row>
    <row r="90" spans="5:19" x14ac:dyDescent="0.25">
      <c r="E90">
        <v>1070</v>
      </c>
      <c r="F90" t="s">
        <v>56</v>
      </c>
      <c r="G90" t="str">
        <f>_xlfn.CONCAT(TaskMasterTBL[[#This Row],[TaskName]],"~",TEXT(TaskMasterTBL[[#This Row],[ID]],"0000"))</f>
        <v>others~1070</v>
      </c>
    </row>
    <row r="91" spans="5:19" x14ac:dyDescent="0.25">
      <c r="E91">
        <v>1071</v>
      </c>
      <c r="F91" t="s">
        <v>41</v>
      </c>
      <c r="G91" t="str">
        <f>_xlfn.CONCAT(TaskMasterTBL[[#This Row],[TaskName]],"~",TEXT(TaskMasterTBL[[#This Row],[ID]],"0000"))</f>
        <v>ET Action~1071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SCHEDULER</vt:lpstr>
      <vt:lpstr>Master</vt:lpstr>
      <vt:lpstr>AREAMASTER</vt:lpstr>
      <vt:lpstr>EmpMaster</vt:lpstr>
      <vt:lpstr>StatusMaster</vt:lpstr>
      <vt:lpstr>TaskMaster</vt:lpstr>
      <vt:lpstr>TaskTypeMaster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Vinothkumar S.</dc:creator>
  <cp:lastModifiedBy>MIS Report</cp:lastModifiedBy>
  <dcterms:created xsi:type="dcterms:W3CDTF">2015-06-05T18:17:20Z</dcterms:created>
  <dcterms:modified xsi:type="dcterms:W3CDTF">2023-10-26T06:09:59Z</dcterms:modified>
</cp:coreProperties>
</file>